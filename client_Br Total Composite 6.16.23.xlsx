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ropbox\Troy\2020 NW\projects\3_proj_plan metric\complexity_code\3 zz_regression\"/>
    </mc:Choice>
  </mc:AlternateContent>
  <xr:revisionPtr revIDLastSave="0" documentId="8_{412732F6-AAA3-477F-9097-5D34A7052C54}" xr6:coauthVersionLast="47" xr6:coauthVersionMax="47" xr10:uidLastSave="{00000000-0000-0000-0000-000000000000}"/>
  <bookViews>
    <workbookView xWindow="-108" yWindow="-108" windowWidth="23256" windowHeight="12456" xr2:uid="{45969D15-0515-4E6A-A6DE-3E9F9498B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</calcChain>
</file>

<file path=xl/sharedStrings.xml><?xml version="1.0" encoding="utf-8"?>
<sst xmlns="http://schemas.openxmlformats.org/spreadsheetml/2006/main" count="29" uniqueCount="29">
  <si>
    <t xml:space="preserve"> MachineName</t>
  </si>
  <si>
    <t xml:space="preserve"> MU</t>
  </si>
  <si>
    <t xml:space="preserve"> beam-on time</t>
  </si>
  <si>
    <t xml:space="preserve"> FX</t>
  </si>
  <si>
    <t xml:space="preserve"> FY</t>
  </si>
  <si>
    <t xml:space="preserve"> lowerleaf</t>
  </si>
  <si>
    <t xml:space="preserve"> upperleaf</t>
  </si>
  <si>
    <t xml:space="preserve"> Arclength</t>
  </si>
  <si>
    <t xml:space="preserve"> meanMLCgap</t>
  </si>
  <si>
    <t xml:space="preserve"> Q1Gap</t>
  </si>
  <si>
    <t xml:space="preserve"> meanTGi</t>
  </si>
  <si>
    <t xml:space="preserve"> interdigitate</t>
  </si>
  <si>
    <t xml:space="preserve"> meanMLCSpeed</t>
  </si>
  <si>
    <t xml:space="preserve"> MLCSpeedModulation</t>
  </si>
  <si>
    <t xml:space="preserve"> meanRR</t>
  </si>
  <si>
    <t xml:space="preserve"> RRmodulation</t>
  </si>
  <si>
    <t xml:space="preserve"> meanGS</t>
  </si>
  <si>
    <t xml:space="preserve"> GSmodulation</t>
  </si>
  <si>
    <t xml:space="preserve"> MCS</t>
  </si>
  <si>
    <t xml:space="preserve"> MITotal</t>
  </si>
  <si>
    <t xml:space="preserve"> PI</t>
  </si>
  <si>
    <t xml:space="preserve"> PM</t>
  </si>
  <si>
    <t xml:space="preserve"> EdgeMetric</t>
  </si>
  <si>
    <t xml:space="preserve"> LT/AL</t>
  </si>
  <si>
    <t>PID</t>
  </si>
  <si>
    <t>outcome_predict1(2p-2mm)</t>
  </si>
  <si>
    <t>outcome_predict1(2p-2mm_bin)</t>
  </si>
  <si>
    <t>outcome_predict2(T218)</t>
  </si>
  <si>
    <t>outcome_predict2(T218_90%_bin)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</si>
</sst>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D439-A700-452D-9C56-D89A9B0083D8}">
  <dimension ref="A1:AC115"/>
  <sheetViews>
    <sheetView tabSelected="1" topLeftCell="W1" workbookViewId="0">
      <selection activeCell="Z1" sqref="Z1:AC1"/>
    </sheetView>
  </sheetViews>
  <sheetFormatPr defaultRowHeight="14.4" x14ac:dyDescent="0.3"/>
  <cols>
    <col min="1" max="1" width="12.88671875" style="1" bestFit="1" customWidth="1"/>
    <col min="27" max="27" width="17.109375" style="2" customWidth="1"/>
    <col min="29" max="29" width="15.44140625" style="3" customWidth="1"/>
  </cols>
  <sheetData>
    <row r="1" spans="1:29" x14ac:dyDescent="0.3">
      <c r="A1" s="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1">
        <v>1</v>
      </c>
      <c r="B2">
        <v>2</v>
      </c>
      <c r="C2">
        <v>745.1</v>
      </c>
      <c r="D2">
        <v>140.1</v>
      </c>
      <c r="E2">
        <v>57.3</v>
      </c>
      <c r="F2">
        <v>40</v>
      </c>
      <c r="G2">
        <v>37</v>
      </c>
      <c r="H2">
        <v>44</v>
      </c>
      <c r="I2">
        <v>440</v>
      </c>
      <c r="J2">
        <v>11.59</v>
      </c>
      <c r="K2">
        <v>7.26</v>
      </c>
      <c r="L2">
        <v>0.30980000000000002</v>
      </c>
      <c r="M2">
        <v>4.4000000000000003E-3</v>
      </c>
      <c r="N2">
        <v>0.26569999999999999</v>
      </c>
      <c r="O2">
        <v>1.0009999999999999</v>
      </c>
      <c r="P2">
        <v>423</v>
      </c>
      <c r="Q2">
        <v>12729.17</v>
      </c>
      <c r="R2">
        <v>2.52</v>
      </c>
      <c r="S2">
        <v>78.58</v>
      </c>
      <c r="T2">
        <v>0.22409999999999999</v>
      </c>
      <c r="U2">
        <v>1.2959000000000001</v>
      </c>
      <c r="V2">
        <v>4.2617000000000003</v>
      </c>
      <c r="W2">
        <v>0.79139999999999999</v>
      </c>
      <c r="X2">
        <v>0.1691</v>
      </c>
      <c r="Y2">
        <v>1.1627000000000001</v>
      </c>
      <c r="Z2">
        <v>84.8</v>
      </c>
      <c r="AA2" s="2">
        <v>0</v>
      </c>
      <c r="AB2">
        <v>84.6</v>
      </c>
      <c r="AC2" s="3">
        <v>0</v>
      </c>
    </row>
    <row r="3" spans="1:29" x14ac:dyDescent="0.3">
      <c r="A3" s="1">
        <f>A2+1</f>
        <v>2</v>
      </c>
      <c r="B3">
        <v>2</v>
      </c>
      <c r="C3">
        <v>413.3</v>
      </c>
      <c r="D3">
        <v>94.6</v>
      </c>
      <c r="E3">
        <v>93.3</v>
      </c>
      <c r="F3">
        <v>100</v>
      </c>
      <c r="G3">
        <v>30</v>
      </c>
      <c r="H3">
        <v>51</v>
      </c>
      <c r="I3">
        <v>356</v>
      </c>
      <c r="J3">
        <v>33.28</v>
      </c>
      <c r="K3">
        <v>20.03</v>
      </c>
      <c r="L3">
        <v>0.2079</v>
      </c>
      <c r="M3">
        <v>6.0000000000000001E-3</v>
      </c>
      <c r="N3">
        <v>0.4521</v>
      </c>
      <c r="O3">
        <v>0.93869999999999998</v>
      </c>
      <c r="P3">
        <v>387.8</v>
      </c>
      <c r="Q3">
        <v>15305.15</v>
      </c>
      <c r="R3">
        <v>3.17</v>
      </c>
      <c r="S3">
        <v>64.38</v>
      </c>
      <c r="T3">
        <v>0.30180000000000001</v>
      </c>
      <c r="U3">
        <v>1.3495999999999999</v>
      </c>
      <c r="V3">
        <v>5.4385000000000003</v>
      </c>
      <c r="W3">
        <v>0.61129999999999995</v>
      </c>
      <c r="X3">
        <v>8.7499999999999994E-2</v>
      </c>
      <c r="Y3">
        <v>1.4153</v>
      </c>
      <c r="Z3">
        <v>95</v>
      </c>
      <c r="AA3" s="2">
        <v>1</v>
      </c>
      <c r="AB3">
        <v>96.8</v>
      </c>
      <c r="AC3" s="3">
        <v>1</v>
      </c>
    </row>
    <row r="4" spans="1:29" x14ac:dyDescent="0.3">
      <c r="A4" s="1">
        <f t="shared" ref="A4:A67" si="0">A3+1</f>
        <v>3</v>
      </c>
      <c r="B4">
        <v>2</v>
      </c>
      <c r="C4">
        <v>439.7</v>
      </c>
      <c r="D4">
        <v>90.4</v>
      </c>
      <c r="E4">
        <v>109.1</v>
      </c>
      <c r="F4">
        <v>115</v>
      </c>
      <c r="G4">
        <v>29</v>
      </c>
      <c r="H4">
        <v>52</v>
      </c>
      <c r="I4">
        <v>356</v>
      </c>
      <c r="J4">
        <v>34.17</v>
      </c>
      <c r="K4">
        <v>20.84</v>
      </c>
      <c r="L4">
        <v>0.1913</v>
      </c>
      <c r="M4">
        <v>4.7999999999999996E-3</v>
      </c>
      <c r="N4">
        <v>0.56279999999999997</v>
      </c>
      <c r="O4">
        <v>0.8327</v>
      </c>
      <c r="P4">
        <v>380.61</v>
      </c>
      <c r="Q4">
        <v>11514.17</v>
      </c>
      <c r="R4">
        <v>3.58</v>
      </c>
      <c r="S4">
        <v>36.49</v>
      </c>
      <c r="T4">
        <v>0.29670000000000002</v>
      </c>
      <c r="U4">
        <v>1.3806</v>
      </c>
      <c r="V4">
        <v>5.1570999999999998</v>
      </c>
      <c r="W4">
        <v>0.62460000000000004</v>
      </c>
      <c r="X4">
        <v>7.6300000000000007E-2</v>
      </c>
      <c r="Y4">
        <v>1.6177999999999999</v>
      </c>
      <c r="Z4">
        <v>90.1</v>
      </c>
      <c r="AA4" s="2">
        <v>1</v>
      </c>
      <c r="AB4">
        <v>89.8</v>
      </c>
      <c r="AC4" s="3">
        <v>0</v>
      </c>
    </row>
    <row r="5" spans="1:29" x14ac:dyDescent="0.3">
      <c r="A5" s="1">
        <f t="shared" si="0"/>
        <v>4</v>
      </c>
      <c r="B5">
        <v>2</v>
      </c>
      <c r="C5">
        <v>812.6</v>
      </c>
      <c r="D5">
        <v>201.6</v>
      </c>
      <c r="E5">
        <v>197.5</v>
      </c>
      <c r="F5">
        <v>175</v>
      </c>
      <c r="G5">
        <v>20</v>
      </c>
      <c r="H5">
        <v>54</v>
      </c>
      <c r="I5">
        <v>716</v>
      </c>
      <c r="J5">
        <v>40.840000000000003</v>
      </c>
      <c r="K5">
        <v>18.3</v>
      </c>
      <c r="L5">
        <v>0.246</v>
      </c>
      <c r="M5">
        <v>2.0999999999999999E-3</v>
      </c>
      <c r="N5">
        <v>1.0697000000000001</v>
      </c>
      <c r="O5">
        <v>0.8024</v>
      </c>
      <c r="P5">
        <v>339.02</v>
      </c>
      <c r="Q5">
        <v>8351.19</v>
      </c>
      <c r="R5">
        <v>3.42</v>
      </c>
      <c r="S5">
        <v>18.79</v>
      </c>
      <c r="T5">
        <v>0.24340000000000001</v>
      </c>
      <c r="U5">
        <v>1.3245</v>
      </c>
      <c r="V5">
        <v>10.0364</v>
      </c>
      <c r="W5">
        <v>0.76870000000000005</v>
      </c>
      <c r="X5">
        <v>9.0999999999999998E-2</v>
      </c>
      <c r="Y5">
        <v>3.2391999999999999</v>
      </c>
      <c r="Z5">
        <v>91</v>
      </c>
      <c r="AA5" s="2">
        <v>1</v>
      </c>
      <c r="AB5">
        <v>96.1</v>
      </c>
      <c r="AC5" s="3">
        <v>1</v>
      </c>
    </row>
    <row r="6" spans="1:29" x14ac:dyDescent="0.3">
      <c r="A6" s="1">
        <f t="shared" si="0"/>
        <v>5</v>
      </c>
      <c r="B6">
        <v>2</v>
      </c>
      <c r="C6">
        <v>440.5</v>
      </c>
      <c r="D6">
        <v>158.6</v>
      </c>
      <c r="E6">
        <v>57.6</v>
      </c>
      <c r="F6">
        <v>50</v>
      </c>
      <c r="G6">
        <v>37</v>
      </c>
      <c r="H6">
        <v>46</v>
      </c>
      <c r="I6">
        <v>712</v>
      </c>
      <c r="J6">
        <v>15.69</v>
      </c>
      <c r="K6">
        <v>9.0500000000000007</v>
      </c>
      <c r="L6">
        <v>0.26419999999999999</v>
      </c>
      <c r="M6">
        <v>1.4E-3</v>
      </c>
      <c r="N6">
        <v>0.35780000000000001</v>
      </c>
      <c r="O6">
        <v>1.1706000000000001</v>
      </c>
      <c r="P6">
        <v>253.35</v>
      </c>
      <c r="Q6">
        <v>6285</v>
      </c>
      <c r="R6">
        <v>4.3899999999999997</v>
      </c>
      <c r="S6">
        <v>4.34</v>
      </c>
      <c r="T6">
        <v>0.27950000000000003</v>
      </c>
      <c r="U6">
        <v>0.81869999999999998</v>
      </c>
      <c r="V6">
        <v>4.3484999999999996</v>
      </c>
      <c r="W6">
        <v>0.6845</v>
      </c>
      <c r="X6">
        <v>0.13489999999999999</v>
      </c>
      <c r="Y6">
        <v>0.87160000000000004</v>
      </c>
      <c r="Z6">
        <v>94.7</v>
      </c>
      <c r="AA6" s="2">
        <v>1</v>
      </c>
      <c r="AB6">
        <v>82.1</v>
      </c>
      <c r="AC6" s="3">
        <v>0</v>
      </c>
    </row>
    <row r="7" spans="1:29" x14ac:dyDescent="0.3">
      <c r="A7" s="1">
        <f t="shared" si="0"/>
        <v>6</v>
      </c>
      <c r="B7">
        <v>2</v>
      </c>
      <c r="C7">
        <v>634.1</v>
      </c>
      <c r="D7">
        <v>205.1</v>
      </c>
      <c r="E7">
        <v>107.5</v>
      </c>
      <c r="F7">
        <v>90</v>
      </c>
      <c r="G7">
        <v>32</v>
      </c>
      <c r="H7">
        <v>49</v>
      </c>
      <c r="I7">
        <v>718</v>
      </c>
      <c r="J7">
        <v>25.14</v>
      </c>
      <c r="K7">
        <v>11.1</v>
      </c>
      <c r="L7">
        <v>0.30840000000000001</v>
      </c>
      <c r="M7">
        <v>6.7000000000000002E-3</v>
      </c>
      <c r="N7">
        <v>0.60729999999999995</v>
      </c>
      <c r="O7">
        <v>0.91520000000000001</v>
      </c>
      <c r="P7">
        <v>322.44</v>
      </c>
      <c r="Q7">
        <v>8808.44</v>
      </c>
      <c r="R7">
        <v>2.99</v>
      </c>
      <c r="S7">
        <v>72.61</v>
      </c>
      <c r="T7">
        <v>0.23330000000000001</v>
      </c>
      <c r="U7">
        <v>1.1739999999999999</v>
      </c>
      <c r="V7">
        <v>7.6473000000000004</v>
      </c>
      <c r="W7">
        <v>0.72799999999999998</v>
      </c>
      <c r="X7">
        <v>0.1343</v>
      </c>
      <c r="Y7">
        <v>2.0169999999999999</v>
      </c>
      <c r="Z7">
        <v>90.5</v>
      </c>
      <c r="AA7" s="2">
        <v>1</v>
      </c>
      <c r="AB7">
        <v>87.9</v>
      </c>
      <c r="AC7" s="3">
        <v>0</v>
      </c>
    </row>
    <row r="8" spans="1:29" x14ac:dyDescent="0.3">
      <c r="A8" s="1">
        <f t="shared" si="0"/>
        <v>7</v>
      </c>
      <c r="B8">
        <v>2</v>
      </c>
      <c r="C8">
        <v>1143</v>
      </c>
      <c r="D8">
        <v>218.6</v>
      </c>
      <c r="E8">
        <v>116.1</v>
      </c>
      <c r="F8">
        <v>105</v>
      </c>
      <c r="G8">
        <v>29</v>
      </c>
      <c r="H8">
        <v>49</v>
      </c>
      <c r="I8">
        <v>716</v>
      </c>
      <c r="J8">
        <v>13.55</v>
      </c>
      <c r="K8">
        <v>6</v>
      </c>
      <c r="L8">
        <v>0.39410000000000001</v>
      </c>
      <c r="M8">
        <v>1.3299999999999999E-2</v>
      </c>
      <c r="N8">
        <v>0.71719999999999995</v>
      </c>
      <c r="O8">
        <v>1.2582</v>
      </c>
      <c r="P8">
        <v>398.64</v>
      </c>
      <c r="Q8">
        <v>11156.42</v>
      </c>
      <c r="R8">
        <v>2.8</v>
      </c>
      <c r="S8">
        <v>85.17</v>
      </c>
      <c r="T8">
        <v>0.14269999999999999</v>
      </c>
      <c r="U8">
        <v>1.2488999999999999</v>
      </c>
      <c r="V8">
        <v>10.7393</v>
      </c>
      <c r="W8">
        <v>0.87709999999999999</v>
      </c>
      <c r="X8">
        <v>0.18590000000000001</v>
      </c>
      <c r="Y8">
        <v>2.38</v>
      </c>
      <c r="Z8">
        <v>88.2</v>
      </c>
      <c r="AA8" s="2">
        <v>0</v>
      </c>
      <c r="AB8">
        <v>83.9</v>
      </c>
      <c r="AC8" s="3">
        <v>0</v>
      </c>
    </row>
    <row r="9" spans="1:29" x14ac:dyDescent="0.3">
      <c r="A9" s="1">
        <f t="shared" si="0"/>
        <v>8</v>
      </c>
      <c r="B9">
        <v>2</v>
      </c>
      <c r="C9">
        <v>507.7</v>
      </c>
      <c r="D9">
        <v>171.9</v>
      </c>
      <c r="E9">
        <v>128.6</v>
      </c>
      <c r="F9">
        <v>115</v>
      </c>
      <c r="G9">
        <v>28</v>
      </c>
      <c r="H9">
        <v>50</v>
      </c>
      <c r="I9">
        <v>716</v>
      </c>
      <c r="J9">
        <v>29.06</v>
      </c>
      <c r="K9">
        <v>14.24</v>
      </c>
      <c r="L9">
        <v>0.2495</v>
      </c>
      <c r="M9">
        <v>4.1000000000000003E-3</v>
      </c>
      <c r="N9">
        <v>0.73799999999999999</v>
      </c>
      <c r="O9">
        <v>1.3743000000000001</v>
      </c>
      <c r="P9">
        <v>289.33</v>
      </c>
      <c r="Q9">
        <v>8990.9500000000007</v>
      </c>
      <c r="R9">
        <v>3.91</v>
      </c>
      <c r="S9">
        <v>32.28</v>
      </c>
      <c r="T9">
        <v>0.24410000000000001</v>
      </c>
      <c r="U9">
        <v>0.98839999999999995</v>
      </c>
      <c r="V9">
        <v>6.7478999999999996</v>
      </c>
      <c r="W9">
        <v>0.75890000000000002</v>
      </c>
      <c r="X9">
        <v>0.1048</v>
      </c>
      <c r="Y9">
        <v>1.8573</v>
      </c>
      <c r="Z9">
        <v>96.5</v>
      </c>
      <c r="AA9" s="2">
        <v>1</v>
      </c>
      <c r="AB9">
        <v>97.5</v>
      </c>
      <c r="AC9" s="3">
        <v>1</v>
      </c>
    </row>
    <row r="10" spans="1:29" x14ac:dyDescent="0.3">
      <c r="A10" s="1">
        <f t="shared" si="0"/>
        <v>9</v>
      </c>
      <c r="B10">
        <v>2</v>
      </c>
      <c r="C10">
        <v>643.1</v>
      </c>
      <c r="D10">
        <v>175.9</v>
      </c>
      <c r="E10">
        <v>136.5</v>
      </c>
      <c r="F10">
        <v>100</v>
      </c>
      <c r="G10">
        <v>31</v>
      </c>
      <c r="H10">
        <v>50</v>
      </c>
      <c r="I10">
        <v>718</v>
      </c>
      <c r="J10">
        <v>28.31</v>
      </c>
      <c r="K10">
        <v>15.02</v>
      </c>
      <c r="L10">
        <v>0.2994</v>
      </c>
      <c r="M10">
        <v>7.7999999999999996E-3</v>
      </c>
      <c r="N10">
        <v>0.82110000000000005</v>
      </c>
      <c r="O10">
        <v>0.94510000000000005</v>
      </c>
      <c r="P10">
        <v>359.42</v>
      </c>
      <c r="Q10">
        <v>11703.54</v>
      </c>
      <c r="R10">
        <v>3.77</v>
      </c>
      <c r="S10">
        <v>27.46</v>
      </c>
      <c r="T10">
        <v>0.24690000000000001</v>
      </c>
      <c r="U10">
        <v>1.1915</v>
      </c>
      <c r="V10">
        <v>8.5907999999999998</v>
      </c>
      <c r="W10">
        <v>0.77239999999999998</v>
      </c>
      <c r="X10">
        <v>0.1308</v>
      </c>
      <c r="Y10">
        <v>2.0417999999999998</v>
      </c>
      <c r="Z10">
        <v>98.2</v>
      </c>
      <c r="AA10" s="2">
        <v>1</v>
      </c>
      <c r="AB10">
        <v>97</v>
      </c>
      <c r="AC10" s="3">
        <v>1</v>
      </c>
    </row>
    <row r="11" spans="1:29" x14ac:dyDescent="0.3">
      <c r="A11" s="1">
        <f t="shared" si="0"/>
        <v>10</v>
      </c>
      <c r="B11">
        <v>2</v>
      </c>
      <c r="C11">
        <v>407.3</v>
      </c>
      <c r="D11">
        <v>171.2</v>
      </c>
      <c r="E11">
        <v>157.4</v>
      </c>
      <c r="F11">
        <v>135</v>
      </c>
      <c r="G11">
        <v>29</v>
      </c>
      <c r="H11">
        <v>55</v>
      </c>
      <c r="I11">
        <v>718</v>
      </c>
      <c r="J11">
        <v>55.21</v>
      </c>
      <c r="K11">
        <v>32.56</v>
      </c>
      <c r="L11">
        <v>0.1767</v>
      </c>
      <c r="M11">
        <v>1.4E-3</v>
      </c>
      <c r="N11">
        <v>0.69369999999999998</v>
      </c>
      <c r="O11">
        <v>0.9153</v>
      </c>
      <c r="P11">
        <v>226.08</v>
      </c>
      <c r="Q11">
        <v>4360.92</v>
      </c>
      <c r="R11">
        <v>4.16</v>
      </c>
      <c r="S11">
        <v>16.62</v>
      </c>
      <c r="T11">
        <v>0.37730000000000002</v>
      </c>
      <c r="U11">
        <v>0.86499999999999999</v>
      </c>
      <c r="V11">
        <v>5.7850000000000001</v>
      </c>
      <c r="W11">
        <v>0.61460000000000004</v>
      </c>
      <c r="X11">
        <v>6.8900000000000003E-2</v>
      </c>
      <c r="Y11">
        <v>1.8987000000000001</v>
      </c>
      <c r="Z11">
        <v>92.4</v>
      </c>
      <c r="AA11" s="2">
        <v>1</v>
      </c>
      <c r="AB11">
        <v>97.8</v>
      </c>
      <c r="AC11" s="3">
        <v>1</v>
      </c>
    </row>
    <row r="12" spans="1:29" x14ac:dyDescent="0.3">
      <c r="A12" s="1">
        <f t="shared" si="0"/>
        <v>11</v>
      </c>
      <c r="B12">
        <v>2</v>
      </c>
      <c r="C12">
        <v>404.8</v>
      </c>
      <c r="D12">
        <v>186.8</v>
      </c>
      <c r="E12">
        <v>154.80000000000001</v>
      </c>
      <c r="F12">
        <v>135</v>
      </c>
      <c r="G12">
        <v>29</v>
      </c>
      <c r="H12">
        <v>55</v>
      </c>
      <c r="I12">
        <v>718</v>
      </c>
      <c r="J12">
        <v>56.29</v>
      </c>
      <c r="K12">
        <v>33.81</v>
      </c>
      <c r="L12">
        <v>0.1706</v>
      </c>
      <c r="M12">
        <v>2E-3</v>
      </c>
      <c r="N12">
        <v>0.65200000000000002</v>
      </c>
      <c r="O12">
        <v>0.87739999999999996</v>
      </c>
      <c r="P12">
        <v>208.74</v>
      </c>
      <c r="Q12">
        <v>5189.34</v>
      </c>
      <c r="R12">
        <v>3.76</v>
      </c>
      <c r="S12">
        <v>30.07</v>
      </c>
      <c r="T12">
        <v>0.3745</v>
      </c>
      <c r="U12">
        <v>0.89149999999999996</v>
      </c>
      <c r="V12">
        <v>5.5361000000000002</v>
      </c>
      <c r="W12">
        <v>0.60360000000000003</v>
      </c>
      <c r="X12">
        <v>6.7699999999999996E-2</v>
      </c>
      <c r="Y12">
        <v>1.9610000000000001</v>
      </c>
      <c r="Z12">
        <v>93.3</v>
      </c>
      <c r="AA12" s="2">
        <v>1</v>
      </c>
      <c r="AB12">
        <v>92.2</v>
      </c>
      <c r="AC12" s="3">
        <v>1</v>
      </c>
    </row>
    <row r="13" spans="1:29" x14ac:dyDescent="0.3">
      <c r="A13" s="1">
        <f t="shared" si="0"/>
        <v>12</v>
      </c>
      <c r="B13">
        <v>2</v>
      </c>
      <c r="C13">
        <v>371</v>
      </c>
      <c r="D13">
        <v>157.80000000000001</v>
      </c>
      <c r="E13">
        <v>108.3</v>
      </c>
      <c r="F13">
        <v>115</v>
      </c>
      <c r="G13">
        <v>30</v>
      </c>
      <c r="H13">
        <v>52</v>
      </c>
      <c r="I13">
        <v>714</v>
      </c>
      <c r="J13">
        <v>30.38</v>
      </c>
      <c r="K13">
        <v>17.88</v>
      </c>
      <c r="L13">
        <v>0.2167</v>
      </c>
      <c r="M13">
        <v>3.2000000000000002E-3</v>
      </c>
      <c r="N13">
        <v>0.53300000000000003</v>
      </c>
      <c r="O13">
        <v>1.0471999999999999</v>
      </c>
      <c r="P13">
        <v>248.13</v>
      </c>
      <c r="Q13">
        <v>5819.52</v>
      </c>
      <c r="R13">
        <v>4.47</v>
      </c>
      <c r="S13">
        <v>3.94</v>
      </c>
      <c r="T13">
        <v>0.26889999999999997</v>
      </c>
      <c r="U13">
        <v>0.93889999999999996</v>
      </c>
      <c r="V13">
        <v>5.2728000000000002</v>
      </c>
      <c r="W13">
        <v>0.73440000000000005</v>
      </c>
      <c r="X13">
        <v>9.06E-2</v>
      </c>
      <c r="Y13">
        <v>1.2326999999999999</v>
      </c>
      <c r="Z13">
        <v>89.8</v>
      </c>
      <c r="AA13" s="2">
        <v>0</v>
      </c>
      <c r="AB13">
        <v>92.8</v>
      </c>
      <c r="AC13" s="3">
        <v>1</v>
      </c>
    </row>
    <row r="14" spans="1:29" x14ac:dyDescent="0.3">
      <c r="A14" s="1">
        <f t="shared" si="0"/>
        <v>13</v>
      </c>
      <c r="B14">
        <v>1</v>
      </c>
      <c r="C14">
        <v>404.1</v>
      </c>
      <c r="D14">
        <v>86.4</v>
      </c>
      <c r="E14">
        <v>155.69999999999999</v>
      </c>
      <c r="F14">
        <v>155</v>
      </c>
      <c r="G14">
        <v>24</v>
      </c>
      <c r="H14">
        <v>56</v>
      </c>
      <c r="I14">
        <v>356</v>
      </c>
      <c r="J14">
        <v>46.02</v>
      </c>
      <c r="K14">
        <v>24.54</v>
      </c>
      <c r="L14">
        <v>0.183</v>
      </c>
      <c r="M14">
        <v>4.5999999999999999E-3</v>
      </c>
      <c r="N14">
        <v>0.64780000000000004</v>
      </c>
      <c r="O14">
        <v>0.81059999999999999</v>
      </c>
      <c r="P14">
        <v>359.48</v>
      </c>
      <c r="Q14">
        <v>8162.76</v>
      </c>
      <c r="R14">
        <v>3.85</v>
      </c>
      <c r="S14">
        <v>31.38</v>
      </c>
      <c r="T14">
        <v>0.27960000000000002</v>
      </c>
      <c r="U14">
        <v>1.2262</v>
      </c>
      <c r="V14">
        <v>6.0263</v>
      </c>
      <c r="W14">
        <v>0.69840000000000002</v>
      </c>
      <c r="X14">
        <v>6.9199999999999998E-2</v>
      </c>
      <c r="Y14">
        <v>1.6820999999999999</v>
      </c>
      <c r="Z14">
        <v>92.8</v>
      </c>
      <c r="AA14" s="2">
        <v>1</v>
      </c>
      <c r="AB14">
        <v>98.1</v>
      </c>
      <c r="AC14" s="3">
        <v>1</v>
      </c>
    </row>
    <row r="15" spans="1:29" x14ac:dyDescent="0.3">
      <c r="A15" s="1">
        <f t="shared" si="0"/>
        <v>14</v>
      </c>
      <c r="B15">
        <v>1</v>
      </c>
      <c r="C15">
        <v>437.1</v>
      </c>
      <c r="D15">
        <v>87.8</v>
      </c>
      <c r="E15">
        <v>154.1</v>
      </c>
      <c r="F15">
        <v>155</v>
      </c>
      <c r="G15">
        <v>24</v>
      </c>
      <c r="H15">
        <v>54</v>
      </c>
      <c r="I15">
        <v>356</v>
      </c>
      <c r="J15">
        <v>40.770000000000003</v>
      </c>
      <c r="K15">
        <v>24.03</v>
      </c>
      <c r="L15">
        <v>0.18529999999999999</v>
      </c>
      <c r="M15">
        <v>3.8E-3</v>
      </c>
      <c r="N15">
        <v>0.60489999999999999</v>
      </c>
      <c r="O15">
        <v>0.85150000000000003</v>
      </c>
      <c r="P15">
        <v>363.86</v>
      </c>
      <c r="Q15">
        <v>8480.83</v>
      </c>
      <c r="R15">
        <v>3.79</v>
      </c>
      <c r="S15">
        <v>27.88</v>
      </c>
      <c r="T15">
        <v>0.29420000000000002</v>
      </c>
      <c r="U15">
        <v>1.2424999999999999</v>
      </c>
      <c r="V15">
        <v>5.9893999999999998</v>
      </c>
      <c r="W15">
        <v>0.67789999999999995</v>
      </c>
      <c r="X15">
        <v>6.83E-2</v>
      </c>
      <c r="Y15">
        <v>1.6376999999999999</v>
      </c>
      <c r="Z15">
        <v>94.7</v>
      </c>
      <c r="AA15" s="2">
        <v>1</v>
      </c>
      <c r="AB15">
        <v>99.9</v>
      </c>
      <c r="AC15" s="3">
        <v>1</v>
      </c>
    </row>
    <row r="16" spans="1:29" x14ac:dyDescent="0.3">
      <c r="A16" s="1">
        <f t="shared" si="0"/>
        <v>15</v>
      </c>
      <c r="B16">
        <v>2</v>
      </c>
      <c r="C16">
        <v>544.20000000000005</v>
      </c>
      <c r="D16">
        <v>165.5</v>
      </c>
      <c r="E16">
        <v>82.4</v>
      </c>
      <c r="F16">
        <v>90</v>
      </c>
      <c r="G16">
        <v>32</v>
      </c>
      <c r="H16">
        <v>49</v>
      </c>
      <c r="I16">
        <v>714</v>
      </c>
      <c r="J16">
        <v>21.84</v>
      </c>
      <c r="K16">
        <v>9.6</v>
      </c>
      <c r="L16">
        <v>0.26479999999999998</v>
      </c>
      <c r="M16">
        <v>4.0000000000000001E-3</v>
      </c>
      <c r="N16">
        <v>0.51519999999999999</v>
      </c>
      <c r="O16">
        <v>0.96760000000000002</v>
      </c>
      <c r="P16">
        <v>333.67</v>
      </c>
      <c r="Q16">
        <v>10540.33</v>
      </c>
      <c r="R16">
        <v>4</v>
      </c>
      <c r="S16">
        <v>15.28</v>
      </c>
      <c r="T16">
        <v>0.26279999999999998</v>
      </c>
      <c r="U16">
        <v>1.1873</v>
      </c>
      <c r="V16">
        <v>6.4702999999999999</v>
      </c>
      <c r="W16">
        <v>0.70699999999999996</v>
      </c>
      <c r="X16">
        <v>0.11849999999999999</v>
      </c>
      <c r="Y16">
        <v>1.3273999999999999</v>
      </c>
      <c r="Z16">
        <v>94</v>
      </c>
      <c r="AA16" s="2">
        <v>1</v>
      </c>
      <c r="AB16">
        <v>91.6</v>
      </c>
      <c r="AC16" s="3">
        <v>1</v>
      </c>
    </row>
    <row r="17" spans="1:29" x14ac:dyDescent="0.3">
      <c r="A17" s="1">
        <f t="shared" si="0"/>
        <v>16</v>
      </c>
      <c r="B17">
        <v>3</v>
      </c>
      <c r="C17">
        <v>1113.4000000000001</v>
      </c>
      <c r="D17">
        <v>261</v>
      </c>
      <c r="E17">
        <v>189.9</v>
      </c>
      <c r="F17">
        <v>185</v>
      </c>
      <c r="G17">
        <v>11</v>
      </c>
      <c r="H17">
        <v>30</v>
      </c>
      <c r="I17">
        <v>1072</v>
      </c>
      <c r="J17">
        <v>34.35</v>
      </c>
      <c r="K17">
        <v>17.670000000000002</v>
      </c>
      <c r="L17">
        <v>0.23350000000000001</v>
      </c>
      <c r="M17">
        <v>0</v>
      </c>
      <c r="N17">
        <v>0.64659999999999995</v>
      </c>
      <c r="O17">
        <v>0.72750000000000004</v>
      </c>
      <c r="P17">
        <v>351.51</v>
      </c>
      <c r="Q17">
        <v>9704.43</v>
      </c>
      <c r="R17">
        <v>3.75</v>
      </c>
      <c r="S17">
        <v>27.55</v>
      </c>
      <c r="T17">
        <v>0.21260000000000001</v>
      </c>
      <c r="U17">
        <v>1.3822000000000001</v>
      </c>
      <c r="V17">
        <v>5.9726999999999997</v>
      </c>
      <c r="W17">
        <v>0.82210000000000005</v>
      </c>
      <c r="X17">
        <v>5.8200000000000002E-2</v>
      </c>
      <c r="Y17">
        <v>1.8335999999999999</v>
      </c>
      <c r="Z17">
        <v>90</v>
      </c>
      <c r="AA17" s="2">
        <v>1</v>
      </c>
      <c r="AB17">
        <v>86.1</v>
      </c>
      <c r="AC17" s="3">
        <v>0</v>
      </c>
    </row>
    <row r="18" spans="1:29" x14ac:dyDescent="0.3">
      <c r="A18" s="1">
        <f t="shared" si="0"/>
        <v>17</v>
      </c>
      <c r="B18">
        <v>2</v>
      </c>
      <c r="C18">
        <v>669.1</v>
      </c>
      <c r="D18">
        <v>253.8</v>
      </c>
      <c r="E18">
        <v>181.7</v>
      </c>
      <c r="F18">
        <v>160</v>
      </c>
      <c r="G18">
        <v>24</v>
      </c>
      <c r="H18">
        <v>55</v>
      </c>
      <c r="I18">
        <v>716</v>
      </c>
      <c r="J18">
        <v>25.41</v>
      </c>
      <c r="K18">
        <v>9.6999999999999993</v>
      </c>
      <c r="L18">
        <v>0.30790000000000001</v>
      </c>
      <c r="M18">
        <v>7.1000000000000004E-3</v>
      </c>
      <c r="N18">
        <v>0.79759999999999998</v>
      </c>
      <c r="O18">
        <v>0.9657</v>
      </c>
      <c r="P18">
        <v>241</v>
      </c>
      <c r="Q18">
        <v>9670.6</v>
      </c>
      <c r="R18">
        <v>2.77</v>
      </c>
      <c r="S18">
        <v>80.540000000000006</v>
      </c>
      <c r="T18">
        <v>0.17599999999999999</v>
      </c>
      <c r="U18">
        <v>1.1483000000000001</v>
      </c>
      <c r="V18">
        <v>11.111499999999999</v>
      </c>
      <c r="W18">
        <v>0.85389999999999999</v>
      </c>
      <c r="X18">
        <v>0.12620000000000001</v>
      </c>
      <c r="Y18">
        <v>2.8658000000000001</v>
      </c>
      <c r="Z18">
        <v>93.4</v>
      </c>
      <c r="AA18" s="2">
        <v>1</v>
      </c>
      <c r="AB18">
        <v>90.6</v>
      </c>
      <c r="AC18" s="3">
        <v>1</v>
      </c>
    </row>
    <row r="19" spans="1:29" x14ac:dyDescent="0.3">
      <c r="A19" s="1">
        <f t="shared" si="0"/>
        <v>18</v>
      </c>
      <c r="B19">
        <v>1</v>
      </c>
      <c r="C19">
        <v>797.1</v>
      </c>
      <c r="D19">
        <v>214.1</v>
      </c>
      <c r="E19">
        <v>178</v>
      </c>
      <c r="F19">
        <v>185</v>
      </c>
      <c r="G19">
        <v>22</v>
      </c>
      <c r="H19">
        <v>58</v>
      </c>
      <c r="I19">
        <v>717</v>
      </c>
      <c r="J19">
        <v>41.4</v>
      </c>
      <c r="K19">
        <v>18.34</v>
      </c>
      <c r="L19">
        <v>0.25650000000000001</v>
      </c>
      <c r="M19">
        <v>4.7999999999999996E-3</v>
      </c>
      <c r="N19">
        <v>1.0452999999999999</v>
      </c>
      <c r="O19">
        <v>0.7802</v>
      </c>
      <c r="P19">
        <v>310.23</v>
      </c>
      <c r="Q19">
        <v>8978.6299999999992</v>
      </c>
      <c r="R19">
        <v>3.26</v>
      </c>
      <c r="S19">
        <v>13.05</v>
      </c>
      <c r="T19">
        <v>0.2334</v>
      </c>
      <c r="U19">
        <v>1.2448999999999999</v>
      </c>
      <c r="V19">
        <v>10.7461</v>
      </c>
      <c r="W19">
        <v>0.71030000000000004</v>
      </c>
      <c r="X19">
        <v>9.4799999999999995E-2</v>
      </c>
      <c r="Y19">
        <v>3.2755000000000001</v>
      </c>
      <c r="Z19">
        <v>96.4</v>
      </c>
      <c r="AA19" s="2">
        <v>1</v>
      </c>
      <c r="AB19">
        <v>95.7</v>
      </c>
      <c r="AC19" s="3">
        <v>1</v>
      </c>
    </row>
    <row r="20" spans="1:29" x14ac:dyDescent="0.3">
      <c r="A20" s="1">
        <f t="shared" si="0"/>
        <v>19</v>
      </c>
      <c r="B20">
        <v>2</v>
      </c>
      <c r="C20">
        <v>577.79999999999995</v>
      </c>
      <c r="D20">
        <v>117</v>
      </c>
      <c r="E20">
        <v>110</v>
      </c>
      <c r="F20">
        <v>125</v>
      </c>
      <c r="G20">
        <v>30</v>
      </c>
      <c r="H20">
        <v>54</v>
      </c>
      <c r="I20">
        <v>446</v>
      </c>
      <c r="J20">
        <v>23.26</v>
      </c>
      <c r="K20">
        <v>10.39</v>
      </c>
      <c r="L20">
        <v>0.27229999999999999</v>
      </c>
      <c r="M20">
        <v>4.0000000000000001E-3</v>
      </c>
      <c r="N20">
        <v>0.47020000000000001</v>
      </c>
      <c r="O20">
        <v>0.87160000000000004</v>
      </c>
      <c r="P20">
        <v>389.34</v>
      </c>
      <c r="Q20">
        <v>12723.38</v>
      </c>
      <c r="R20">
        <v>3.4</v>
      </c>
      <c r="S20">
        <v>50.76</v>
      </c>
      <c r="T20">
        <v>0.21829999999999999</v>
      </c>
      <c r="U20">
        <v>1.3932</v>
      </c>
      <c r="V20">
        <v>7.5519999999999996</v>
      </c>
      <c r="W20">
        <v>0.79400000000000004</v>
      </c>
      <c r="X20">
        <v>0.1163</v>
      </c>
      <c r="Y20">
        <v>1.4169</v>
      </c>
      <c r="Z20">
        <v>95.4</v>
      </c>
      <c r="AA20" s="2">
        <v>1</v>
      </c>
      <c r="AB20">
        <v>96</v>
      </c>
      <c r="AC20" s="3">
        <v>1</v>
      </c>
    </row>
    <row r="21" spans="1:29" x14ac:dyDescent="0.3">
      <c r="A21" s="1">
        <f t="shared" si="0"/>
        <v>20</v>
      </c>
      <c r="B21">
        <v>2</v>
      </c>
      <c r="C21">
        <v>548.20000000000005</v>
      </c>
      <c r="D21">
        <v>160.5</v>
      </c>
      <c r="E21">
        <v>139.9</v>
      </c>
      <c r="F21">
        <v>115</v>
      </c>
      <c r="G21">
        <v>31</v>
      </c>
      <c r="H21">
        <v>53</v>
      </c>
      <c r="I21">
        <v>716</v>
      </c>
      <c r="J21">
        <v>35.19</v>
      </c>
      <c r="K21">
        <v>21.37</v>
      </c>
      <c r="L21">
        <v>0.2442</v>
      </c>
      <c r="M21">
        <v>3.8E-3</v>
      </c>
      <c r="N21">
        <v>0.59799999999999998</v>
      </c>
      <c r="O21">
        <v>0.84140000000000004</v>
      </c>
      <c r="P21">
        <v>292.27999999999997</v>
      </c>
      <c r="Q21">
        <v>7538.2</v>
      </c>
      <c r="R21">
        <v>4.3499999999999996</v>
      </c>
      <c r="S21">
        <v>8.5399999999999991</v>
      </c>
      <c r="T21">
        <v>0.28299999999999997</v>
      </c>
      <c r="U21">
        <v>1.2166999999999999</v>
      </c>
      <c r="V21">
        <v>7.73</v>
      </c>
      <c r="W21">
        <v>0.70150000000000001</v>
      </c>
      <c r="X21">
        <v>0.1051</v>
      </c>
      <c r="Y21">
        <v>1.3928</v>
      </c>
      <c r="Z21">
        <v>95.9</v>
      </c>
      <c r="AA21" s="2">
        <v>1</v>
      </c>
      <c r="AB21">
        <v>97.2</v>
      </c>
      <c r="AC21" s="3">
        <v>1</v>
      </c>
    </row>
    <row r="22" spans="1:29" x14ac:dyDescent="0.3">
      <c r="A22" s="1">
        <f t="shared" si="0"/>
        <v>21</v>
      </c>
      <c r="B22">
        <v>2</v>
      </c>
      <c r="C22">
        <v>298.10000000000002</v>
      </c>
      <c r="D22">
        <v>81.2</v>
      </c>
      <c r="E22">
        <v>90.1</v>
      </c>
      <c r="F22">
        <v>85</v>
      </c>
      <c r="G22">
        <v>35</v>
      </c>
      <c r="H22">
        <v>51</v>
      </c>
      <c r="I22">
        <v>358</v>
      </c>
      <c r="J22">
        <v>37.47</v>
      </c>
      <c r="K22">
        <v>21.34</v>
      </c>
      <c r="L22">
        <v>0.18079999999999999</v>
      </c>
      <c r="M22">
        <v>2.9999999999999997E-4</v>
      </c>
      <c r="N22">
        <v>0.39300000000000002</v>
      </c>
      <c r="O22">
        <v>0.97050000000000003</v>
      </c>
      <c r="P22">
        <v>304.26</v>
      </c>
      <c r="Q22">
        <v>6132.52</v>
      </c>
      <c r="R22">
        <v>4.25</v>
      </c>
      <c r="S22">
        <v>10.89</v>
      </c>
      <c r="T22">
        <v>0.3725</v>
      </c>
      <c r="U22">
        <v>0.83399999999999996</v>
      </c>
      <c r="V22">
        <v>3.8307000000000002</v>
      </c>
      <c r="W22">
        <v>0.51329999999999998</v>
      </c>
      <c r="X22">
        <v>7.2900000000000006E-2</v>
      </c>
      <c r="Y22">
        <v>0.95120000000000005</v>
      </c>
      <c r="Z22">
        <v>94.7</v>
      </c>
      <c r="AA22" s="2">
        <v>1</v>
      </c>
      <c r="AB22">
        <v>96.9</v>
      </c>
      <c r="AC22" s="3">
        <v>1</v>
      </c>
    </row>
    <row r="23" spans="1:29" x14ac:dyDescent="0.3">
      <c r="A23" s="1">
        <f t="shared" si="0"/>
        <v>22</v>
      </c>
      <c r="B23">
        <v>1</v>
      </c>
      <c r="C23">
        <v>428.2</v>
      </c>
      <c r="D23">
        <v>96.2</v>
      </c>
      <c r="E23">
        <v>139.19999999999999</v>
      </c>
      <c r="F23">
        <v>140</v>
      </c>
      <c r="G23">
        <v>27</v>
      </c>
      <c r="H23">
        <v>55</v>
      </c>
      <c r="I23">
        <v>416</v>
      </c>
      <c r="J23">
        <v>43.22</v>
      </c>
      <c r="K23">
        <v>25.21</v>
      </c>
      <c r="L23">
        <v>0.2019</v>
      </c>
      <c r="M23">
        <v>4.4999999999999997E-3</v>
      </c>
      <c r="N23">
        <v>0.66020000000000001</v>
      </c>
      <c r="O23">
        <v>0.79479999999999995</v>
      </c>
      <c r="P23">
        <v>339.05</v>
      </c>
      <c r="Q23">
        <v>7438.87</v>
      </c>
      <c r="R23">
        <v>4.16</v>
      </c>
      <c r="S23">
        <v>11.26</v>
      </c>
      <c r="T23">
        <v>0.2964</v>
      </c>
      <c r="U23">
        <v>1.2927</v>
      </c>
      <c r="V23">
        <v>6.4749999999999996</v>
      </c>
      <c r="W23">
        <v>0.66220000000000001</v>
      </c>
      <c r="X23">
        <v>7.8200000000000006E-2</v>
      </c>
      <c r="Y23">
        <v>1.5941000000000001</v>
      </c>
      <c r="Z23">
        <v>99</v>
      </c>
      <c r="AA23" s="2">
        <v>1</v>
      </c>
      <c r="AB23">
        <v>99.6</v>
      </c>
      <c r="AC23" s="3">
        <v>1</v>
      </c>
    </row>
    <row r="24" spans="1:29" x14ac:dyDescent="0.3">
      <c r="A24" s="1">
        <f t="shared" si="0"/>
        <v>23</v>
      </c>
      <c r="B24">
        <v>2</v>
      </c>
      <c r="C24">
        <v>473.4</v>
      </c>
      <c r="D24">
        <v>93.1</v>
      </c>
      <c r="E24">
        <v>125.1</v>
      </c>
      <c r="F24">
        <v>135</v>
      </c>
      <c r="G24">
        <v>27</v>
      </c>
      <c r="H24">
        <v>53</v>
      </c>
      <c r="I24">
        <v>356</v>
      </c>
      <c r="J24">
        <v>34.83</v>
      </c>
      <c r="K24">
        <v>18.98</v>
      </c>
      <c r="L24">
        <v>0.2288</v>
      </c>
      <c r="M24">
        <v>4.0000000000000001E-3</v>
      </c>
      <c r="N24">
        <v>0.58150000000000002</v>
      </c>
      <c r="O24">
        <v>0.83050000000000002</v>
      </c>
      <c r="P24">
        <v>381.58</v>
      </c>
      <c r="Q24">
        <v>10632.47</v>
      </c>
      <c r="R24">
        <v>3.46</v>
      </c>
      <c r="S24">
        <v>43.94</v>
      </c>
      <c r="T24">
        <v>0.27750000000000002</v>
      </c>
      <c r="U24">
        <v>1.4437</v>
      </c>
      <c r="V24">
        <v>6.5731000000000002</v>
      </c>
      <c r="W24">
        <v>0.68730000000000002</v>
      </c>
      <c r="X24">
        <v>8.6099999999999996E-2</v>
      </c>
      <c r="Y24">
        <v>1.6858</v>
      </c>
      <c r="Z24">
        <v>95.4</v>
      </c>
      <c r="AA24" s="2">
        <v>1</v>
      </c>
      <c r="AB24">
        <v>98.5</v>
      </c>
      <c r="AC24" s="3">
        <v>1</v>
      </c>
    </row>
    <row r="25" spans="1:29" x14ac:dyDescent="0.3">
      <c r="A25" s="1">
        <f t="shared" si="0"/>
        <v>24</v>
      </c>
      <c r="B25">
        <v>2</v>
      </c>
      <c r="C25">
        <v>408.7</v>
      </c>
      <c r="D25">
        <v>108.6</v>
      </c>
      <c r="E25">
        <v>160.1</v>
      </c>
      <c r="F25">
        <v>175</v>
      </c>
      <c r="G25">
        <v>23</v>
      </c>
      <c r="H25">
        <v>57</v>
      </c>
      <c r="I25">
        <v>446</v>
      </c>
      <c r="J25">
        <v>49.58</v>
      </c>
      <c r="K25">
        <v>30.04</v>
      </c>
      <c r="L25">
        <v>0.18770000000000001</v>
      </c>
      <c r="M25">
        <v>4.7999999999999996E-3</v>
      </c>
      <c r="N25">
        <v>0.61419999999999997</v>
      </c>
      <c r="O25">
        <v>0.79810000000000003</v>
      </c>
      <c r="P25">
        <v>345.67</v>
      </c>
      <c r="Q25">
        <v>11876.63</v>
      </c>
      <c r="R25">
        <v>3.65</v>
      </c>
      <c r="S25">
        <v>35.04</v>
      </c>
      <c r="T25">
        <v>0.29110000000000003</v>
      </c>
      <c r="U25">
        <v>1.4585999999999999</v>
      </c>
      <c r="V25">
        <v>5.9603000000000002</v>
      </c>
      <c r="W25">
        <v>0.66180000000000005</v>
      </c>
      <c r="X25">
        <v>6.5299999999999997E-2</v>
      </c>
      <c r="Y25">
        <v>1.7270000000000001</v>
      </c>
      <c r="Z25">
        <v>97</v>
      </c>
      <c r="AA25" s="2">
        <v>1</v>
      </c>
    </row>
    <row r="26" spans="1:29" x14ac:dyDescent="0.3">
      <c r="A26" s="1">
        <f t="shared" si="0"/>
        <v>25</v>
      </c>
      <c r="B26">
        <v>1</v>
      </c>
      <c r="C26">
        <v>369.3</v>
      </c>
      <c r="D26">
        <v>82.6</v>
      </c>
      <c r="E26">
        <v>110.4</v>
      </c>
      <c r="F26">
        <v>120</v>
      </c>
      <c r="G26">
        <v>29</v>
      </c>
      <c r="H26">
        <v>52</v>
      </c>
      <c r="I26">
        <v>358</v>
      </c>
      <c r="J26">
        <v>38.94</v>
      </c>
      <c r="K26">
        <v>23.52</v>
      </c>
      <c r="L26">
        <v>0.18110000000000001</v>
      </c>
      <c r="M26">
        <v>2.2000000000000001E-3</v>
      </c>
      <c r="N26">
        <v>0.53039999999999998</v>
      </c>
      <c r="O26">
        <v>0.90359999999999996</v>
      </c>
      <c r="P26">
        <v>335.33</v>
      </c>
      <c r="Q26">
        <v>7446.07</v>
      </c>
      <c r="R26">
        <v>4.18</v>
      </c>
      <c r="S26">
        <v>15.1</v>
      </c>
      <c r="T26">
        <v>0.33939999999999998</v>
      </c>
      <c r="U26">
        <v>1.0524</v>
      </c>
      <c r="V26">
        <v>4.5175999999999998</v>
      </c>
      <c r="W26">
        <v>0.61009999999999998</v>
      </c>
      <c r="X26">
        <v>6.8599999999999994E-2</v>
      </c>
      <c r="Y26">
        <v>1.3509</v>
      </c>
      <c r="Z26">
        <v>98</v>
      </c>
      <c r="AA26" s="2">
        <v>1</v>
      </c>
      <c r="AB26">
        <v>99</v>
      </c>
      <c r="AC26" s="3">
        <v>1</v>
      </c>
    </row>
    <row r="27" spans="1:29" x14ac:dyDescent="0.3">
      <c r="A27" s="1">
        <f t="shared" si="0"/>
        <v>26</v>
      </c>
      <c r="B27">
        <v>2</v>
      </c>
      <c r="C27">
        <v>448.7</v>
      </c>
      <c r="D27">
        <v>180.1</v>
      </c>
      <c r="E27">
        <v>96.6</v>
      </c>
      <c r="F27">
        <v>110</v>
      </c>
      <c r="G27">
        <v>29</v>
      </c>
      <c r="H27">
        <v>50</v>
      </c>
      <c r="I27">
        <v>716</v>
      </c>
      <c r="J27">
        <v>27.3</v>
      </c>
      <c r="K27">
        <v>14.65</v>
      </c>
      <c r="L27">
        <v>0.24049999999999999</v>
      </c>
      <c r="M27">
        <v>2.7000000000000001E-3</v>
      </c>
      <c r="N27">
        <v>0.54510000000000003</v>
      </c>
      <c r="O27">
        <v>1.3502000000000001</v>
      </c>
      <c r="P27">
        <v>283.86</v>
      </c>
      <c r="Q27">
        <v>5766.77</v>
      </c>
      <c r="R27">
        <v>3.57</v>
      </c>
      <c r="S27">
        <v>52.08</v>
      </c>
      <c r="T27">
        <v>0.26960000000000001</v>
      </c>
      <c r="U27">
        <v>0.85119999999999996</v>
      </c>
      <c r="V27">
        <v>6.5540000000000003</v>
      </c>
      <c r="W27">
        <v>0.68410000000000004</v>
      </c>
      <c r="X27">
        <v>0.105</v>
      </c>
      <c r="Y27">
        <v>1.4725999999999999</v>
      </c>
      <c r="Z27">
        <v>99.6</v>
      </c>
      <c r="AA27" s="2">
        <v>1</v>
      </c>
      <c r="AB27">
        <v>99.3</v>
      </c>
      <c r="AC27" s="3">
        <v>1</v>
      </c>
    </row>
    <row r="28" spans="1:29" x14ac:dyDescent="0.3">
      <c r="A28" s="1">
        <f t="shared" si="0"/>
        <v>27</v>
      </c>
      <c r="B28">
        <v>2</v>
      </c>
      <c r="C28">
        <v>658.1</v>
      </c>
      <c r="D28">
        <v>172.5</v>
      </c>
      <c r="E28">
        <v>144.5</v>
      </c>
      <c r="F28">
        <v>120</v>
      </c>
      <c r="G28">
        <v>29</v>
      </c>
      <c r="H28">
        <v>52</v>
      </c>
      <c r="I28">
        <v>714</v>
      </c>
      <c r="J28">
        <v>24.28</v>
      </c>
      <c r="K28">
        <v>11.75</v>
      </c>
      <c r="L28">
        <v>0.29909999999999998</v>
      </c>
      <c r="M28">
        <v>5.4999999999999997E-3</v>
      </c>
      <c r="N28">
        <v>0.53890000000000005</v>
      </c>
      <c r="O28">
        <v>0.85829999999999995</v>
      </c>
      <c r="P28">
        <v>358.54</v>
      </c>
      <c r="Q28">
        <v>12405.36</v>
      </c>
      <c r="R28">
        <v>3.72</v>
      </c>
      <c r="S28">
        <v>34</v>
      </c>
      <c r="T28">
        <v>0.21340000000000001</v>
      </c>
      <c r="U28">
        <v>1.3875</v>
      </c>
      <c r="V28">
        <v>9.2339000000000002</v>
      </c>
      <c r="W28">
        <v>0.82540000000000002</v>
      </c>
      <c r="X28">
        <v>0.13489999999999999</v>
      </c>
      <c r="Y28">
        <v>1.5154000000000001</v>
      </c>
      <c r="Z28">
        <v>93.2</v>
      </c>
      <c r="AA28" s="2">
        <v>1</v>
      </c>
      <c r="AB28">
        <v>89.9</v>
      </c>
      <c r="AC28" s="3">
        <v>0</v>
      </c>
    </row>
    <row r="29" spans="1:29" x14ac:dyDescent="0.3">
      <c r="A29" s="1">
        <f t="shared" si="0"/>
        <v>28</v>
      </c>
      <c r="B29">
        <v>2</v>
      </c>
      <c r="C29">
        <v>520.9</v>
      </c>
      <c r="D29">
        <v>191.3</v>
      </c>
      <c r="E29">
        <v>146.6</v>
      </c>
      <c r="F29">
        <v>120</v>
      </c>
      <c r="G29">
        <v>29</v>
      </c>
      <c r="H29">
        <v>52</v>
      </c>
      <c r="I29">
        <v>538</v>
      </c>
      <c r="J29">
        <v>38.26</v>
      </c>
      <c r="K29">
        <v>19.260000000000002</v>
      </c>
      <c r="L29">
        <v>0.23430000000000001</v>
      </c>
      <c r="M29">
        <v>5.0000000000000001E-4</v>
      </c>
      <c r="N29">
        <v>0.60209999999999997</v>
      </c>
      <c r="O29">
        <v>1.07</v>
      </c>
      <c r="P29">
        <v>244.62</v>
      </c>
      <c r="Q29">
        <v>7918.4</v>
      </c>
      <c r="R29">
        <v>2.74</v>
      </c>
      <c r="S29">
        <v>77.3</v>
      </c>
      <c r="T29">
        <v>0.28570000000000001</v>
      </c>
      <c r="U29">
        <v>0.88649999999999995</v>
      </c>
      <c r="V29">
        <v>6.7130999999999998</v>
      </c>
      <c r="W29">
        <v>0.73470000000000002</v>
      </c>
      <c r="X29">
        <v>9.4399999999999998E-2</v>
      </c>
      <c r="Y29">
        <v>2.3997000000000002</v>
      </c>
      <c r="Z29">
        <v>94.6</v>
      </c>
      <c r="AA29" s="2">
        <v>1</v>
      </c>
      <c r="AB29">
        <v>94.4</v>
      </c>
      <c r="AC29" s="3">
        <v>1</v>
      </c>
    </row>
    <row r="30" spans="1:29" x14ac:dyDescent="0.3">
      <c r="A30" s="1">
        <f t="shared" si="0"/>
        <v>29</v>
      </c>
      <c r="B30">
        <v>2</v>
      </c>
      <c r="C30">
        <v>662.2</v>
      </c>
      <c r="D30">
        <v>167.9</v>
      </c>
      <c r="E30">
        <v>103.4</v>
      </c>
      <c r="F30">
        <v>100</v>
      </c>
      <c r="G30">
        <v>31</v>
      </c>
      <c r="H30">
        <v>50</v>
      </c>
      <c r="I30">
        <v>716</v>
      </c>
      <c r="J30">
        <v>18.649999999999999</v>
      </c>
      <c r="K30">
        <v>8.92</v>
      </c>
      <c r="L30">
        <v>0.30480000000000002</v>
      </c>
      <c r="M30">
        <v>5.5999999999999999E-3</v>
      </c>
      <c r="N30">
        <v>0.57730000000000004</v>
      </c>
      <c r="O30">
        <v>1.2466999999999999</v>
      </c>
      <c r="P30">
        <v>332.28</v>
      </c>
      <c r="Q30">
        <v>14081.64</v>
      </c>
      <c r="R30">
        <v>4.01</v>
      </c>
      <c r="S30">
        <v>29.9</v>
      </c>
      <c r="T30">
        <v>0.19270000000000001</v>
      </c>
      <c r="U30">
        <v>1.3156000000000001</v>
      </c>
      <c r="V30">
        <v>7.7698</v>
      </c>
      <c r="W30">
        <v>0.81089999999999995</v>
      </c>
      <c r="X30">
        <v>0.13769999999999999</v>
      </c>
      <c r="Y30">
        <v>1.4979</v>
      </c>
      <c r="Z30">
        <v>91.7</v>
      </c>
      <c r="AA30" s="2">
        <v>1</v>
      </c>
      <c r="AB30">
        <v>88.8</v>
      </c>
      <c r="AC30" s="3">
        <v>0</v>
      </c>
    </row>
    <row r="31" spans="1:29" x14ac:dyDescent="0.3">
      <c r="A31" s="1">
        <f t="shared" si="0"/>
        <v>30</v>
      </c>
      <c r="B31">
        <v>2</v>
      </c>
      <c r="C31">
        <v>421</v>
      </c>
      <c r="D31">
        <v>162.1</v>
      </c>
      <c r="E31">
        <v>81.2</v>
      </c>
      <c r="F31">
        <v>85</v>
      </c>
      <c r="G31">
        <v>33</v>
      </c>
      <c r="H31">
        <v>49</v>
      </c>
      <c r="I31">
        <v>716</v>
      </c>
      <c r="J31">
        <v>24.21</v>
      </c>
      <c r="K31">
        <v>11.5</v>
      </c>
      <c r="L31">
        <v>0.26450000000000001</v>
      </c>
      <c r="M31">
        <v>2.0999999999999999E-3</v>
      </c>
      <c r="N31">
        <v>0.35189999999999999</v>
      </c>
      <c r="O31">
        <v>1.0984</v>
      </c>
      <c r="P31">
        <v>265.91000000000003</v>
      </c>
      <c r="Q31">
        <v>8153.91</v>
      </c>
      <c r="R31">
        <v>4.16</v>
      </c>
      <c r="S31">
        <v>9.65</v>
      </c>
      <c r="T31">
        <v>0.26119999999999999</v>
      </c>
      <c r="U31">
        <v>0.88060000000000005</v>
      </c>
      <c r="V31">
        <v>5.3986999999999998</v>
      </c>
      <c r="W31">
        <v>0.66520000000000001</v>
      </c>
      <c r="X31">
        <v>0.11210000000000001</v>
      </c>
      <c r="Y31">
        <v>0.85309999999999997</v>
      </c>
      <c r="Z31">
        <v>92</v>
      </c>
      <c r="AA31" s="2">
        <v>1</v>
      </c>
      <c r="AB31">
        <v>86.2</v>
      </c>
      <c r="AC31" s="3">
        <v>0</v>
      </c>
    </row>
    <row r="32" spans="1:29" x14ac:dyDescent="0.3">
      <c r="A32" s="1">
        <f t="shared" si="0"/>
        <v>31</v>
      </c>
      <c r="B32">
        <v>2</v>
      </c>
      <c r="C32">
        <v>371.8</v>
      </c>
      <c r="D32">
        <v>84</v>
      </c>
      <c r="E32">
        <v>62.7</v>
      </c>
      <c r="F32">
        <v>60</v>
      </c>
      <c r="G32">
        <v>36</v>
      </c>
      <c r="H32">
        <v>47</v>
      </c>
      <c r="I32">
        <v>357</v>
      </c>
      <c r="J32">
        <v>25.26</v>
      </c>
      <c r="K32">
        <v>16.3</v>
      </c>
      <c r="L32">
        <v>0.19550000000000001</v>
      </c>
      <c r="M32">
        <v>1E-4</v>
      </c>
      <c r="N32">
        <v>0.34329999999999999</v>
      </c>
      <c r="O32">
        <v>0.95799999999999996</v>
      </c>
      <c r="P32">
        <v>355.31</v>
      </c>
      <c r="Q32">
        <v>7279.12</v>
      </c>
      <c r="R32">
        <v>4.03</v>
      </c>
      <c r="S32">
        <v>18.32</v>
      </c>
      <c r="T32">
        <v>0.33289999999999997</v>
      </c>
      <c r="U32">
        <v>0.97529999999999994</v>
      </c>
      <c r="V32">
        <v>3.3868999999999998</v>
      </c>
      <c r="W32">
        <v>0.54320000000000002</v>
      </c>
      <c r="X32">
        <v>9.2799999999999994E-2</v>
      </c>
      <c r="Y32">
        <v>0.94410000000000005</v>
      </c>
      <c r="Z32">
        <v>97.4</v>
      </c>
      <c r="AA32" s="2">
        <v>1</v>
      </c>
      <c r="AB32">
        <v>96</v>
      </c>
      <c r="AC32" s="3">
        <v>1</v>
      </c>
    </row>
    <row r="33" spans="1:29" x14ac:dyDescent="0.3">
      <c r="A33" s="1">
        <f t="shared" si="0"/>
        <v>32</v>
      </c>
      <c r="B33">
        <v>2</v>
      </c>
      <c r="C33">
        <v>495.6</v>
      </c>
      <c r="D33">
        <v>188</v>
      </c>
      <c r="E33">
        <v>173</v>
      </c>
      <c r="F33">
        <v>120</v>
      </c>
      <c r="G33">
        <v>27</v>
      </c>
      <c r="H33">
        <v>50</v>
      </c>
      <c r="I33">
        <v>712</v>
      </c>
      <c r="J33">
        <v>29.83</v>
      </c>
      <c r="K33">
        <v>14.29</v>
      </c>
      <c r="L33">
        <v>0.2752</v>
      </c>
      <c r="M33">
        <v>3.3999999999999998E-3</v>
      </c>
      <c r="N33">
        <v>0.73960000000000004</v>
      </c>
      <c r="O33">
        <v>0.93859999999999999</v>
      </c>
      <c r="P33">
        <v>228.15</v>
      </c>
      <c r="Q33">
        <v>5186.6899999999996</v>
      </c>
      <c r="R33">
        <v>3.74</v>
      </c>
      <c r="S33">
        <v>56.34</v>
      </c>
      <c r="T33">
        <v>0.24210000000000001</v>
      </c>
      <c r="U33">
        <v>1.0305</v>
      </c>
      <c r="V33">
        <v>8.5234000000000005</v>
      </c>
      <c r="W33">
        <v>0.8206</v>
      </c>
      <c r="X33">
        <v>0.12130000000000001</v>
      </c>
      <c r="Y33">
        <v>1.9613</v>
      </c>
      <c r="Z33">
        <v>97.8</v>
      </c>
      <c r="AA33" s="2">
        <v>1</v>
      </c>
      <c r="AB33">
        <v>99.3</v>
      </c>
      <c r="AC33" s="3">
        <v>1</v>
      </c>
    </row>
    <row r="34" spans="1:29" x14ac:dyDescent="0.3">
      <c r="A34" s="1">
        <f t="shared" si="0"/>
        <v>33</v>
      </c>
      <c r="B34">
        <v>2</v>
      </c>
      <c r="C34">
        <v>374.9</v>
      </c>
      <c r="D34">
        <v>174.7</v>
      </c>
      <c r="E34">
        <v>165.8</v>
      </c>
      <c r="F34">
        <v>140</v>
      </c>
      <c r="G34">
        <v>25</v>
      </c>
      <c r="H34">
        <v>52</v>
      </c>
      <c r="I34">
        <v>712</v>
      </c>
      <c r="J34">
        <v>44.1</v>
      </c>
      <c r="K34">
        <v>24.69</v>
      </c>
      <c r="L34">
        <v>0.20599999999999999</v>
      </c>
      <c r="M34">
        <v>2.7000000000000001E-3</v>
      </c>
      <c r="N34">
        <v>0.8276</v>
      </c>
      <c r="O34">
        <v>0.98299999999999998</v>
      </c>
      <c r="P34">
        <v>203.07</v>
      </c>
      <c r="Q34">
        <v>4119.68</v>
      </c>
      <c r="R34">
        <v>4.04</v>
      </c>
      <c r="S34">
        <v>20.63</v>
      </c>
      <c r="T34">
        <v>0.29239999999999999</v>
      </c>
      <c r="U34">
        <v>0.91080000000000005</v>
      </c>
      <c r="V34">
        <v>6.3707000000000003</v>
      </c>
      <c r="W34">
        <v>0.75290000000000001</v>
      </c>
      <c r="X34">
        <v>8.2100000000000006E-2</v>
      </c>
      <c r="Y34">
        <v>2.113</v>
      </c>
      <c r="Z34">
        <v>94.4</v>
      </c>
      <c r="AA34" s="2">
        <v>1</v>
      </c>
      <c r="AB34">
        <v>95.5</v>
      </c>
      <c r="AC34" s="3">
        <v>1</v>
      </c>
    </row>
    <row r="35" spans="1:29" x14ac:dyDescent="0.3">
      <c r="A35" s="1">
        <f t="shared" si="0"/>
        <v>34</v>
      </c>
      <c r="B35">
        <v>2</v>
      </c>
      <c r="C35">
        <v>962</v>
      </c>
      <c r="D35">
        <v>284.60000000000002</v>
      </c>
      <c r="E35">
        <v>117.8</v>
      </c>
      <c r="F35">
        <v>100</v>
      </c>
      <c r="G35">
        <v>30</v>
      </c>
      <c r="H35">
        <v>51</v>
      </c>
      <c r="I35">
        <v>865</v>
      </c>
      <c r="J35">
        <v>17.18</v>
      </c>
      <c r="K35">
        <v>7.14</v>
      </c>
      <c r="L35">
        <v>0.35299999999999998</v>
      </c>
      <c r="M35">
        <v>1.3899999999999999E-2</v>
      </c>
      <c r="N35">
        <v>0.77329999999999999</v>
      </c>
      <c r="O35">
        <v>1.1155999999999999</v>
      </c>
      <c r="P35">
        <v>303.44</v>
      </c>
      <c r="Q35">
        <v>12129.98</v>
      </c>
      <c r="R35">
        <v>2.65</v>
      </c>
      <c r="S35">
        <v>90.65</v>
      </c>
      <c r="T35">
        <v>0.15620000000000001</v>
      </c>
      <c r="U35">
        <v>1.2507999999999999</v>
      </c>
      <c r="V35">
        <v>9.5488999999999997</v>
      </c>
      <c r="W35">
        <v>0.85050000000000003</v>
      </c>
      <c r="X35">
        <v>0.16</v>
      </c>
      <c r="Y35">
        <v>2.8209</v>
      </c>
      <c r="Z35">
        <v>92.8</v>
      </c>
      <c r="AA35" s="2">
        <v>1</v>
      </c>
      <c r="AB35">
        <v>87.9</v>
      </c>
      <c r="AC35" s="3">
        <v>0</v>
      </c>
    </row>
    <row r="36" spans="1:29" x14ac:dyDescent="0.3">
      <c r="A36" s="1">
        <f t="shared" si="0"/>
        <v>35</v>
      </c>
      <c r="B36">
        <v>2</v>
      </c>
      <c r="C36">
        <v>597</v>
      </c>
      <c r="D36">
        <v>218.2</v>
      </c>
      <c r="E36">
        <v>136.1</v>
      </c>
      <c r="F36">
        <v>120</v>
      </c>
      <c r="G36">
        <v>31</v>
      </c>
      <c r="H36">
        <v>54</v>
      </c>
      <c r="I36">
        <v>716</v>
      </c>
      <c r="J36">
        <v>29.61</v>
      </c>
      <c r="K36">
        <v>13.32</v>
      </c>
      <c r="L36">
        <v>0.26179999999999998</v>
      </c>
      <c r="M36">
        <v>3.0999999999999999E-3</v>
      </c>
      <c r="N36">
        <v>0.67359999999999998</v>
      </c>
      <c r="O36">
        <v>1.1646000000000001</v>
      </c>
      <c r="P36">
        <v>273.22000000000003</v>
      </c>
      <c r="Q36">
        <v>11249.35</v>
      </c>
      <c r="R36">
        <v>3.13</v>
      </c>
      <c r="S36">
        <v>93.06</v>
      </c>
      <c r="T36">
        <v>0.2334</v>
      </c>
      <c r="U36">
        <v>1.1016999999999999</v>
      </c>
      <c r="V36">
        <v>7.468</v>
      </c>
      <c r="W36">
        <v>0.77400000000000002</v>
      </c>
      <c r="X36">
        <v>0.11020000000000001</v>
      </c>
      <c r="Y36">
        <v>2.2088999999999999</v>
      </c>
      <c r="Z36">
        <v>88.9</v>
      </c>
      <c r="AA36" s="2">
        <v>0</v>
      </c>
      <c r="AB36">
        <v>89.7</v>
      </c>
      <c r="AC36" s="3">
        <v>0</v>
      </c>
    </row>
    <row r="37" spans="1:29" x14ac:dyDescent="0.3">
      <c r="A37" s="1">
        <f t="shared" si="0"/>
        <v>36</v>
      </c>
      <c r="B37">
        <v>2</v>
      </c>
      <c r="C37">
        <v>716.2</v>
      </c>
      <c r="D37">
        <v>255.6</v>
      </c>
      <c r="E37">
        <v>111.9</v>
      </c>
      <c r="F37">
        <v>120</v>
      </c>
      <c r="G37">
        <v>31</v>
      </c>
      <c r="H37">
        <v>54</v>
      </c>
      <c r="I37">
        <v>1077</v>
      </c>
      <c r="J37">
        <v>16.32</v>
      </c>
      <c r="K37">
        <v>6.78</v>
      </c>
      <c r="L37">
        <v>0.31919999999999998</v>
      </c>
      <c r="M37">
        <v>8.3999999999999995E-3</v>
      </c>
      <c r="N37">
        <v>0.7077</v>
      </c>
      <c r="O37">
        <v>1.2107000000000001</v>
      </c>
      <c r="P37">
        <v>306.36</v>
      </c>
      <c r="Q37">
        <v>8097.67</v>
      </c>
      <c r="R37">
        <v>4.03</v>
      </c>
      <c r="S37">
        <v>36.340000000000003</v>
      </c>
      <c r="T37">
        <v>0.16439999999999999</v>
      </c>
      <c r="U37">
        <v>1.0505</v>
      </c>
      <c r="V37">
        <v>9.0343</v>
      </c>
      <c r="W37">
        <v>0.86370000000000002</v>
      </c>
      <c r="X37">
        <v>0.1452</v>
      </c>
      <c r="Y37">
        <v>1.7987</v>
      </c>
      <c r="Z37">
        <v>94.2</v>
      </c>
      <c r="AA37" s="2">
        <v>1</v>
      </c>
      <c r="AB37">
        <v>90.2</v>
      </c>
      <c r="AC37" s="3">
        <v>1</v>
      </c>
    </row>
    <row r="38" spans="1:29" x14ac:dyDescent="0.3">
      <c r="A38" s="1">
        <f t="shared" si="0"/>
        <v>37</v>
      </c>
      <c r="B38">
        <v>4</v>
      </c>
      <c r="C38">
        <v>344.6</v>
      </c>
      <c r="D38">
        <v>89.3</v>
      </c>
      <c r="E38">
        <v>179.7</v>
      </c>
      <c r="F38">
        <v>160</v>
      </c>
      <c r="G38">
        <v>1</v>
      </c>
      <c r="H38">
        <v>40</v>
      </c>
      <c r="I38">
        <v>360</v>
      </c>
      <c r="J38">
        <v>37.43</v>
      </c>
      <c r="K38">
        <v>17.38</v>
      </c>
      <c r="L38">
        <v>0.19750000000000001</v>
      </c>
      <c r="M38">
        <v>6.0299999999999999E-2</v>
      </c>
      <c r="N38">
        <v>0.30680000000000002</v>
      </c>
      <c r="O38">
        <v>0.74009999999999998</v>
      </c>
      <c r="P38">
        <v>363.38</v>
      </c>
      <c r="Q38">
        <v>8487.5499999999993</v>
      </c>
      <c r="R38">
        <v>3.52</v>
      </c>
      <c r="S38">
        <v>28.66</v>
      </c>
      <c r="T38">
        <v>0.23880000000000001</v>
      </c>
      <c r="U38">
        <v>0.82189999999999996</v>
      </c>
      <c r="V38">
        <v>5.6165000000000003</v>
      </c>
      <c r="W38">
        <v>0.65339999999999998</v>
      </c>
      <c r="X38">
        <v>7.6499999999999999E-2</v>
      </c>
      <c r="Y38">
        <v>0.89070000000000005</v>
      </c>
      <c r="Z38">
        <v>97.3</v>
      </c>
      <c r="AA38" s="2">
        <v>1</v>
      </c>
      <c r="AB38">
        <v>96.8</v>
      </c>
      <c r="AC38" s="3">
        <v>1</v>
      </c>
    </row>
    <row r="39" spans="1:29" x14ac:dyDescent="0.3">
      <c r="A39" s="1">
        <f t="shared" si="0"/>
        <v>38</v>
      </c>
      <c r="B39">
        <v>2</v>
      </c>
      <c r="C39">
        <v>1443.7</v>
      </c>
      <c r="D39">
        <v>234.6</v>
      </c>
      <c r="E39">
        <v>194.5</v>
      </c>
      <c r="F39">
        <v>170</v>
      </c>
      <c r="G39">
        <v>28</v>
      </c>
      <c r="H39">
        <v>61</v>
      </c>
      <c r="I39">
        <v>714</v>
      </c>
      <c r="J39">
        <v>28.11</v>
      </c>
      <c r="K39">
        <v>11.55</v>
      </c>
      <c r="L39">
        <v>0.31280000000000002</v>
      </c>
      <c r="M39">
        <v>8.0000000000000002E-3</v>
      </c>
      <c r="N39">
        <v>0.48430000000000001</v>
      </c>
      <c r="O39">
        <v>0.67679999999999996</v>
      </c>
      <c r="P39">
        <v>438.51</v>
      </c>
      <c r="Q39">
        <v>11588.42</v>
      </c>
      <c r="R39">
        <v>2.67</v>
      </c>
      <c r="S39">
        <v>83.38</v>
      </c>
      <c r="T39">
        <v>0.16889999999999999</v>
      </c>
      <c r="U39">
        <v>1.6493</v>
      </c>
      <c r="V39">
        <v>13.071899999999999</v>
      </c>
      <c r="W39">
        <v>0.83530000000000004</v>
      </c>
      <c r="X39">
        <v>0.1234</v>
      </c>
      <c r="Y39">
        <v>1.8584000000000001</v>
      </c>
      <c r="Z39">
        <v>96.3</v>
      </c>
      <c r="AA39" s="2">
        <v>1</v>
      </c>
      <c r="AB39">
        <v>94.7</v>
      </c>
      <c r="AC39" s="3">
        <v>1</v>
      </c>
    </row>
    <row r="40" spans="1:29" x14ac:dyDescent="0.3">
      <c r="A40" s="1">
        <f t="shared" si="0"/>
        <v>39</v>
      </c>
      <c r="B40">
        <v>2</v>
      </c>
      <c r="C40">
        <v>388.8</v>
      </c>
      <c r="D40">
        <v>92.3</v>
      </c>
      <c r="E40">
        <v>101.2</v>
      </c>
      <c r="F40">
        <v>85</v>
      </c>
      <c r="G40">
        <v>34</v>
      </c>
      <c r="H40">
        <v>50</v>
      </c>
      <c r="I40">
        <v>356</v>
      </c>
      <c r="J40">
        <v>37.71</v>
      </c>
      <c r="K40">
        <v>20.81</v>
      </c>
      <c r="L40">
        <v>0.20669999999999999</v>
      </c>
      <c r="M40">
        <v>0</v>
      </c>
      <c r="N40">
        <v>0.38159999999999999</v>
      </c>
      <c r="O40">
        <v>0.8992</v>
      </c>
      <c r="P40">
        <v>381.28</v>
      </c>
      <c r="Q40">
        <v>16244.66</v>
      </c>
      <c r="R40">
        <v>3.29</v>
      </c>
      <c r="S40">
        <v>52.95</v>
      </c>
      <c r="T40">
        <v>0.32850000000000001</v>
      </c>
      <c r="U40">
        <v>1.2974000000000001</v>
      </c>
      <c r="V40">
        <v>4.3129999999999997</v>
      </c>
      <c r="W40">
        <v>0.59109999999999996</v>
      </c>
      <c r="X40">
        <v>8.2299999999999998E-2</v>
      </c>
      <c r="Y40">
        <v>1.2297</v>
      </c>
      <c r="Z40">
        <v>91.6</v>
      </c>
      <c r="AA40" s="2">
        <v>1</v>
      </c>
      <c r="AB40">
        <v>89.2</v>
      </c>
      <c r="AC40" s="3">
        <v>0</v>
      </c>
    </row>
    <row r="41" spans="1:29" x14ac:dyDescent="0.3">
      <c r="A41" s="1">
        <f t="shared" si="0"/>
        <v>40</v>
      </c>
      <c r="B41">
        <v>2</v>
      </c>
      <c r="C41">
        <v>404.1</v>
      </c>
      <c r="D41">
        <v>92.6</v>
      </c>
      <c r="E41">
        <v>102.5</v>
      </c>
      <c r="F41">
        <v>90</v>
      </c>
      <c r="G41">
        <v>33</v>
      </c>
      <c r="H41">
        <v>50</v>
      </c>
      <c r="I41">
        <v>356</v>
      </c>
      <c r="J41">
        <v>37.85</v>
      </c>
      <c r="K41">
        <v>20.95</v>
      </c>
      <c r="L41">
        <v>0.2019</v>
      </c>
      <c r="M41">
        <v>5.9999999999999995E-4</v>
      </c>
      <c r="N41">
        <v>0.4325</v>
      </c>
      <c r="O41">
        <v>0.86739999999999995</v>
      </c>
      <c r="P41">
        <v>362.28</v>
      </c>
      <c r="Q41">
        <v>11189.27</v>
      </c>
      <c r="R41">
        <v>3.31</v>
      </c>
      <c r="S41">
        <v>44.49</v>
      </c>
      <c r="T41">
        <v>0.33090000000000003</v>
      </c>
      <c r="U41">
        <v>1.2942</v>
      </c>
      <c r="V41">
        <v>4.6849999999999996</v>
      </c>
      <c r="W41">
        <v>0.56889999999999996</v>
      </c>
      <c r="X41">
        <v>8.0299999999999996E-2</v>
      </c>
      <c r="Y41">
        <v>1.3841000000000001</v>
      </c>
      <c r="Z41">
        <v>92.2</v>
      </c>
      <c r="AA41" s="2">
        <v>1</v>
      </c>
      <c r="AB41">
        <v>90.2</v>
      </c>
      <c r="AC41" s="3">
        <v>1</v>
      </c>
    </row>
    <row r="42" spans="1:29" x14ac:dyDescent="0.3">
      <c r="A42" s="1">
        <f t="shared" si="0"/>
        <v>41</v>
      </c>
      <c r="B42">
        <v>2</v>
      </c>
      <c r="C42">
        <v>494.7</v>
      </c>
      <c r="D42">
        <v>163.19999999999999</v>
      </c>
      <c r="E42">
        <v>133.80000000000001</v>
      </c>
      <c r="F42">
        <v>130</v>
      </c>
      <c r="G42">
        <v>29</v>
      </c>
      <c r="H42">
        <v>54</v>
      </c>
      <c r="I42">
        <v>716</v>
      </c>
      <c r="J42">
        <v>33.65</v>
      </c>
      <c r="K42">
        <v>19.79</v>
      </c>
      <c r="L42">
        <v>0.2319</v>
      </c>
      <c r="M42">
        <v>2.7000000000000001E-3</v>
      </c>
      <c r="N42">
        <v>0.61519999999999997</v>
      </c>
      <c r="O42">
        <v>1.0324</v>
      </c>
      <c r="P42">
        <v>308.73</v>
      </c>
      <c r="Q42">
        <v>7941.15</v>
      </c>
      <c r="R42">
        <v>4.2</v>
      </c>
      <c r="S42">
        <v>20.399999999999999</v>
      </c>
      <c r="T42">
        <v>0.26979999999999998</v>
      </c>
      <c r="U42">
        <v>1.1467000000000001</v>
      </c>
      <c r="V42">
        <v>6.8606999999999996</v>
      </c>
      <c r="W42">
        <v>0.73640000000000005</v>
      </c>
      <c r="X42">
        <v>9.2600000000000002E-2</v>
      </c>
      <c r="Y42">
        <v>1.5291999999999999</v>
      </c>
      <c r="Z42">
        <v>94.7</v>
      </c>
      <c r="AA42" s="2">
        <v>1</v>
      </c>
      <c r="AB42">
        <v>97.2</v>
      </c>
      <c r="AC42" s="3">
        <v>1</v>
      </c>
    </row>
    <row r="43" spans="1:29" x14ac:dyDescent="0.3">
      <c r="A43" s="1">
        <f t="shared" si="0"/>
        <v>42</v>
      </c>
      <c r="B43">
        <v>2</v>
      </c>
      <c r="C43">
        <v>634.9</v>
      </c>
      <c r="D43">
        <v>168.6</v>
      </c>
      <c r="E43">
        <v>123.6</v>
      </c>
      <c r="F43">
        <v>125</v>
      </c>
      <c r="G43">
        <v>28</v>
      </c>
      <c r="H43">
        <v>52</v>
      </c>
      <c r="I43">
        <v>716</v>
      </c>
      <c r="J43">
        <v>27.31</v>
      </c>
      <c r="K43">
        <v>14.91</v>
      </c>
      <c r="L43">
        <v>0.26900000000000002</v>
      </c>
      <c r="M43">
        <v>5.7999999999999996E-3</v>
      </c>
      <c r="N43">
        <v>0.75109999999999999</v>
      </c>
      <c r="O43">
        <v>0.98070000000000002</v>
      </c>
      <c r="P43">
        <v>350.02</v>
      </c>
      <c r="Q43">
        <v>13127.14</v>
      </c>
      <c r="R43">
        <v>3.93</v>
      </c>
      <c r="S43">
        <v>31.77</v>
      </c>
      <c r="T43">
        <v>0.22509999999999999</v>
      </c>
      <c r="U43">
        <v>1.5437000000000001</v>
      </c>
      <c r="V43">
        <v>7.8997000000000002</v>
      </c>
      <c r="W43">
        <v>0.77929999999999999</v>
      </c>
      <c r="X43">
        <v>0.11459999999999999</v>
      </c>
      <c r="Y43">
        <v>1.9714</v>
      </c>
      <c r="Z43">
        <v>97.4</v>
      </c>
      <c r="AA43" s="2">
        <v>1</v>
      </c>
      <c r="AB43">
        <v>95.6</v>
      </c>
      <c r="AC43" s="3">
        <v>1</v>
      </c>
    </row>
    <row r="44" spans="1:29" x14ac:dyDescent="0.3">
      <c r="A44" s="1">
        <f t="shared" si="0"/>
        <v>43</v>
      </c>
      <c r="B44">
        <v>2</v>
      </c>
      <c r="C44">
        <v>484.7</v>
      </c>
      <c r="D44">
        <v>163.19999999999999</v>
      </c>
      <c r="E44">
        <v>133.80000000000001</v>
      </c>
      <c r="F44">
        <v>130</v>
      </c>
      <c r="G44">
        <v>28</v>
      </c>
      <c r="H44">
        <v>53</v>
      </c>
      <c r="I44">
        <v>716</v>
      </c>
      <c r="J44">
        <v>35.619999999999997</v>
      </c>
      <c r="K44">
        <v>20.309999999999999</v>
      </c>
      <c r="L44">
        <v>0.23380000000000001</v>
      </c>
      <c r="M44">
        <v>4.1000000000000003E-3</v>
      </c>
      <c r="N44">
        <v>0.55500000000000005</v>
      </c>
      <c r="O44">
        <v>1.0403</v>
      </c>
      <c r="P44">
        <v>309.62</v>
      </c>
      <c r="Q44">
        <v>6916.1</v>
      </c>
      <c r="R44">
        <v>4.13</v>
      </c>
      <c r="S44">
        <v>16.38</v>
      </c>
      <c r="T44">
        <v>0.2908</v>
      </c>
      <c r="U44">
        <v>1.0829</v>
      </c>
      <c r="V44">
        <v>7.2343000000000002</v>
      </c>
      <c r="W44">
        <v>0.70930000000000004</v>
      </c>
      <c r="X44">
        <v>9.5799999999999996E-2</v>
      </c>
      <c r="Y44">
        <v>1.4032</v>
      </c>
      <c r="Z44">
        <v>95.6</v>
      </c>
      <c r="AA44" s="2">
        <v>1</v>
      </c>
      <c r="AB44">
        <v>92.6</v>
      </c>
      <c r="AC44" s="3">
        <v>1</v>
      </c>
    </row>
    <row r="45" spans="1:29" x14ac:dyDescent="0.3">
      <c r="A45" s="1">
        <f t="shared" si="0"/>
        <v>44</v>
      </c>
      <c r="B45">
        <v>2</v>
      </c>
      <c r="C45">
        <v>345.1</v>
      </c>
      <c r="D45">
        <v>126.6</v>
      </c>
      <c r="E45">
        <v>160.69999999999999</v>
      </c>
      <c r="F45">
        <v>150</v>
      </c>
      <c r="G45">
        <v>27</v>
      </c>
      <c r="H45">
        <v>57</v>
      </c>
      <c r="I45">
        <v>360</v>
      </c>
      <c r="J45">
        <v>53.79</v>
      </c>
      <c r="K45">
        <v>31.47</v>
      </c>
      <c r="L45">
        <v>0.1749</v>
      </c>
      <c r="M45">
        <v>4.0000000000000001E-3</v>
      </c>
      <c r="N45">
        <v>0.59089999999999998</v>
      </c>
      <c r="O45">
        <v>0.75560000000000005</v>
      </c>
      <c r="P45">
        <v>278.51</v>
      </c>
      <c r="Q45">
        <v>8894.65</v>
      </c>
      <c r="R45">
        <v>2.76</v>
      </c>
      <c r="S45">
        <v>101.52</v>
      </c>
      <c r="T45">
        <v>0.34839999999999999</v>
      </c>
      <c r="U45">
        <v>1.0881000000000001</v>
      </c>
      <c r="V45">
        <v>5.5069999999999997</v>
      </c>
      <c r="W45">
        <v>0.61619999999999997</v>
      </c>
      <c r="X45">
        <v>6.2199999999999998E-2</v>
      </c>
      <c r="Y45">
        <v>2.3753000000000002</v>
      </c>
      <c r="Z45">
        <v>92.7</v>
      </c>
      <c r="AA45" s="2">
        <v>1</v>
      </c>
      <c r="AB45">
        <v>94.7</v>
      </c>
      <c r="AC45" s="3">
        <v>1</v>
      </c>
    </row>
    <row r="46" spans="1:29" x14ac:dyDescent="0.3">
      <c r="A46" s="1">
        <f t="shared" si="0"/>
        <v>45</v>
      </c>
      <c r="B46">
        <v>2</v>
      </c>
      <c r="C46">
        <v>400.3</v>
      </c>
      <c r="D46">
        <v>159.69999999999999</v>
      </c>
      <c r="E46">
        <v>112.5</v>
      </c>
      <c r="F46">
        <v>110</v>
      </c>
      <c r="G46">
        <v>32</v>
      </c>
      <c r="H46">
        <v>53</v>
      </c>
      <c r="I46">
        <v>714</v>
      </c>
      <c r="J46">
        <v>36.36</v>
      </c>
      <c r="K46">
        <v>24.3</v>
      </c>
      <c r="L46">
        <v>0.2099</v>
      </c>
      <c r="M46">
        <v>3.0999999999999999E-3</v>
      </c>
      <c r="N46">
        <v>0.54179999999999995</v>
      </c>
      <c r="O46">
        <v>0.89070000000000005</v>
      </c>
      <c r="P46">
        <v>272.12</v>
      </c>
      <c r="Q46">
        <v>5763.09</v>
      </c>
      <c r="R46">
        <v>4.3099999999999996</v>
      </c>
      <c r="S46">
        <v>5.04</v>
      </c>
      <c r="T46">
        <v>0.34150000000000003</v>
      </c>
      <c r="U46">
        <v>1.0896999999999999</v>
      </c>
      <c r="V46">
        <v>6.1283000000000003</v>
      </c>
      <c r="W46">
        <v>0.67169999999999996</v>
      </c>
      <c r="X46">
        <v>0.09</v>
      </c>
      <c r="Y46">
        <v>1.4077999999999999</v>
      </c>
      <c r="Z46">
        <v>95.7</v>
      </c>
      <c r="AA46" s="2">
        <v>1</v>
      </c>
      <c r="AB46">
        <v>98.3</v>
      </c>
      <c r="AC46" s="3">
        <v>1</v>
      </c>
    </row>
    <row r="47" spans="1:29" x14ac:dyDescent="0.3">
      <c r="A47" s="1">
        <f t="shared" si="0"/>
        <v>46</v>
      </c>
      <c r="B47">
        <v>2</v>
      </c>
      <c r="C47">
        <v>522.1</v>
      </c>
      <c r="D47">
        <v>166.1</v>
      </c>
      <c r="E47">
        <v>136.9</v>
      </c>
      <c r="F47">
        <v>145</v>
      </c>
      <c r="G47">
        <v>27</v>
      </c>
      <c r="H47">
        <v>55</v>
      </c>
      <c r="I47">
        <v>714</v>
      </c>
      <c r="J47">
        <v>44.55</v>
      </c>
      <c r="K47">
        <v>25.46</v>
      </c>
      <c r="L47">
        <v>0.16850000000000001</v>
      </c>
      <c r="M47">
        <v>1.1999999999999999E-3</v>
      </c>
      <c r="N47">
        <v>0.53490000000000004</v>
      </c>
      <c r="O47">
        <v>0.85780000000000001</v>
      </c>
      <c r="P47">
        <v>338.55</v>
      </c>
      <c r="Q47">
        <v>7226.18</v>
      </c>
      <c r="R47">
        <v>3.94</v>
      </c>
      <c r="S47">
        <v>16.739999999999998</v>
      </c>
      <c r="T47">
        <v>0.34</v>
      </c>
      <c r="U47">
        <v>1.1567000000000001</v>
      </c>
      <c r="V47">
        <v>5.0678999999999998</v>
      </c>
      <c r="W47">
        <v>0.66400000000000003</v>
      </c>
      <c r="X47">
        <v>6.13E-2</v>
      </c>
      <c r="Y47">
        <v>1.3781000000000001</v>
      </c>
      <c r="Z47">
        <v>97</v>
      </c>
      <c r="AA47" s="2">
        <v>1</v>
      </c>
      <c r="AB47">
        <v>95.8</v>
      </c>
      <c r="AC47" s="3">
        <v>1</v>
      </c>
    </row>
    <row r="48" spans="1:29" x14ac:dyDescent="0.3">
      <c r="A48" s="1">
        <f t="shared" si="0"/>
        <v>47</v>
      </c>
      <c r="B48">
        <v>2</v>
      </c>
      <c r="C48">
        <v>489.1</v>
      </c>
      <c r="D48">
        <v>160.9</v>
      </c>
      <c r="E48">
        <v>90.5</v>
      </c>
      <c r="F48">
        <v>100</v>
      </c>
      <c r="G48">
        <v>31</v>
      </c>
      <c r="H48">
        <v>50</v>
      </c>
      <c r="I48">
        <v>714</v>
      </c>
      <c r="J48">
        <v>22.46</v>
      </c>
      <c r="K48">
        <v>11.21</v>
      </c>
      <c r="L48">
        <v>0.27910000000000001</v>
      </c>
      <c r="M48">
        <v>6.0000000000000001E-3</v>
      </c>
      <c r="N48">
        <v>0.52929999999999999</v>
      </c>
      <c r="O48">
        <v>1.0298</v>
      </c>
      <c r="P48">
        <v>306.31</v>
      </c>
      <c r="Q48">
        <v>9126.98</v>
      </c>
      <c r="R48">
        <v>4.26</v>
      </c>
      <c r="S48">
        <v>7.55</v>
      </c>
      <c r="T48">
        <v>0.23669999999999999</v>
      </c>
      <c r="U48">
        <v>1.0757000000000001</v>
      </c>
      <c r="V48">
        <v>6.9999000000000002</v>
      </c>
      <c r="W48">
        <v>0.71860000000000002</v>
      </c>
      <c r="X48">
        <v>0.12039999999999999</v>
      </c>
      <c r="Y48">
        <v>1.3037000000000001</v>
      </c>
      <c r="Z48">
        <v>96.7</v>
      </c>
      <c r="AA48" s="2">
        <v>1</v>
      </c>
      <c r="AB48">
        <v>95.9</v>
      </c>
      <c r="AC48" s="3">
        <v>1</v>
      </c>
    </row>
    <row r="49" spans="1:29" x14ac:dyDescent="0.3">
      <c r="A49" s="1">
        <f t="shared" si="0"/>
        <v>48</v>
      </c>
      <c r="B49">
        <v>2</v>
      </c>
      <c r="C49">
        <v>439.7</v>
      </c>
      <c r="D49">
        <v>89.1</v>
      </c>
      <c r="E49">
        <v>121.5</v>
      </c>
      <c r="F49">
        <v>135</v>
      </c>
      <c r="G49">
        <v>27</v>
      </c>
      <c r="H49">
        <v>53</v>
      </c>
      <c r="I49">
        <v>358</v>
      </c>
      <c r="J49">
        <v>31.6</v>
      </c>
      <c r="K49">
        <v>16.77</v>
      </c>
      <c r="L49">
        <v>0.2359</v>
      </c>
      <c r="M49">
        <v>3.2000000000000002E-3</v>
      </c>
      <c r="N49">
        <v>0.58809999999999996</v>
      </c>
      <c r="O49">
        <v>0.85829999999999995</v>
      </c>
      <c r="P49">
        <v>376.97</v>
      </c>
      <c r="Q49">
        <v>7838.81</v>
      </c>
      <c r="R49">
        <v>3.72</v>
      </c>
      <c r="S49">
        <v>34.630000000000003</v>
      </c>
      <c r="T49">
        <v>0.25280000000000002</v>
      </c>
      <c r="U49">
        <v>1.2506999999999999</v>
      </c>
      <c r="V49">
        <v>7.0849000000000002</v>
      </c>
      <c r="W49">
        <v>0.747</v>
      </c>
      <c r="X49">
        <v>9.4100000000000003E-2</v>
      </c>
      <c r="Y49">
        <v>1.6045</v>
      </c>
      <c r="Z49">
        <v>95.8</v>
      </c>
      <c r="AA49" s="2">
        <v>1</v>
      </c>
      <c r="AB49">
        <v>94.6</v>
      </c>
      <c r="AC49" s="3">
        <v>1</v>
      </c>
    </row>
    <row r="50" spans="1:29" x14ac:dyDescent="0.3">
      <c r="A50" s="1">
        <f t="shared" si="0"/>
        <v>49</v>
      </c>
      <c r="B50">
        <v>2</v>
      </c>
      <c r="C50">
        <v>437.9</v>
      </c>
      <c r="D50">
        <v>106.7</v>
      </c>
      <c r="E50">
        <v>148.69999999999999</v>
      </c>
      <c r="F50">
        <v>160</v>
      </c>
      <c r="G50">
        <v>25</v>
      </c>
      <c r="H50">
        <v>56</v>
      </c>
      <c r="I50">
        <v>448</v>
      </c>
      <c r="J50">
        <v>36.61</v>
      </c>
      <c r="K50">
        <v>18.11</v>
      </c>
      <c r="L50">
        <v>0.2387</v>
      </c>
      <c r="M50">
        <v>4.8999999999999998E-3</v>
      </c>
      <c r="N50">
        <v>0.68300000000000005</v>
      </c>
      <c r="O50">
        <v>0.77600000000000002</v>
      </c>
      <c r="P50">
        <v>351.84</v>
      </c>
      <c r="Q50">
        <v>10001.299999999999</v>
      </c>
      <c r="R50">
        <v>3.9</v>
      </c>
      <c r="S50">
        <v>23.65</v>
      </c>
      <c r="T50">
        <v>0.25559999999999999</v>
      </c>
      <c r="U50">
        <v>1.4370000000000001</v>
      </c>
      <c r="V50">
        <v>7.4055999999999997</v>
      </c>
      <c r="W50">
        <v>0.75180000000000002</v>
      </c>
      <c r="X50">
        <v>8.8800000000000004E-2</v>
      </c>
      <c r="Y50">
        <v>1.7501</v>
      </c>
      <c r="Z50">
        <v>97.5</v>
      </c>
      <c r="AA50" s="2">
        <v>1</v>
      </c>
      <c r="AB50">
        <v>97.4</v>
      </c>
      <c r="AC50" s="3">
        <v>1</v>
      </c>
    </row>
    <row r="51" spans="1:29" x14ac:dyDescent="0.3">
      <c r="A51" s="1">
        <f t="shared" si="0"/>
        <v>50</v>
      </c>
      <c r="B51">
        <v>2</v>
      </c>
      <c r="C51">
        <v>434.5</v>
      </c>
      <c r="D51">
        <v>159.69999999999999</v>
      </c>
      <c r="E51">
        <v>110.4</v>
      </c>
      <c r="F51">
        <v>120</v>
      </c>
      <c r="G51">
        <v>30</v>
      </c>
      <c r="H51">
        <v>53</v>
      </c>
      <c r="I51">
        <v>714</v>
      </c>
      <c r="J51">
        <v>35.08</v>
      </c>
      <c r="K51">
        <v>20.96</v>
      </c>
      <c r="L51">
        <v>0.21540000000000001</v>
      </c>
      <c r="M51">
        <v>3.8999999999999998E-3</v>
      </c>
      <c r="N51">
        <v>0.62450000000000006</v>
      </c>
      <c r="O51">
        <v>0.93010000000000004</v>
      </c>
      <c r="P51">
        <v>266.88</v>
      </c>
      <c r="Q51">
        <v>9205.33</v>
      </c>
      <c r="R51">
        <v>4.33</v>
      </c>
      <c r="S51">
        <v>9.69</v>
      </c>
      <c r="T51">
        <v>0.2853</v>
      </c>
      <c r="U51">
        <v>1.2129000000000001</v>
      </c>
      <c r="V51">
        <v>6.1837</v>
      </c>
      <c r="W51">
        <v>0.65869999999999995</v>
      </c>
      <c r="X51">
        <v>8.9499999999999996E-2</v>
      </c>
      <c r="Y51">
        <v>1.4728000000000001</v>
      </c>
      <c r="Z51">
        <v>95.7</v>
      </c>
      <c r="AA51" s="2">
        <v>1</v>
      </c>
      <c r="AB51">
        <v>96.9</v>
      </c>
      <c r="AC51" s="3">
        <v>1</v>
      </c>
    </row>
    <row r="52" spans="1:29" x14ac:dyDescent="0.3">
      <c r="A52" s="1">
        <f t="shared" si="0"/>
        <v>51</v>
      </c>
      <c r="B52">
        <v>2</v>
      </c>
      <c r="C52">
        <v>461.7</v>
      </c>
      <c r="D52">
        <v>161.9</v>
      </c>
      <c r="E52">
        <v>171.2</v>
      </c>
      <c r="F52">
        <v>145</v>
      </c>
      <c r="G52">
        <v>29</v>
      </c>
      <c r="H52">
        <v>57</v>
      </c>
      <c r="I52">
        <v>712</v>
      </c>
      <c r="J52">
        <v>40.04</v>
      </c>
      <c r="K52">
        <v>21.71</v>
      </c>
      <c r="L52">
        <v>0.1986</v>
      </c>
      <c r="M52">
        <v>1.6999999999999999E-3</v>
      </c>
      <c r="N52">
        <v>0.67210000000000003</v>
      </c>
      <c r="O52">
        <v>0.77249999999999996</v>
      </c>
      <c r="P52">
        <v>316.02</v>
      </c>
      <c r="Q52">
        <v>5380.05</v>
      </c>
      <c r="R52">
        <v>4.1500000000000004</v>
      </c>
      <c r="S52">
        <v>11.22</v>
      </c>
      <c r="T52">
        <v>0.29459999999999997</v>
      </c>
      <c r="U52">
        <v>1.2130000000000001</v>
      </c>
      <c r="V52">
        <v>5.9595000000000002</v>
      </c>
      <c r="W52">
        <v>0.75949999999999995</v>
      </c>
      <c r="X52">
        <v>7.1999999999999995E-2</v>
      </c>
      <c r="Y52">
        <v>1.6322000000000001</v>
      </c>
      <c r="Z52">
        <v>92.5</v>
      </c>
      <c r="AA52" s="2">
        <v>1</v>
      </c>
      <c r="AB52">
        <v>95.2</v>
      </c>
      <c r="AC52" s="3">
        <v>1</v>
      </c>
    </row>
    <row r="53" spans="1:29" x14ac:dyDescent="0.3">
      <c r="A53" s="1">
        <f t="shared" si="0"/>
        <v>52</v>
      </c>
      <c r="B53">
        <v>2</v>
      </c>
      <c r="C53">
        <v>436.2</v>
      </c>
      <c r="D53">
        <v>162.80000000000001</v>
      </c>
      <c r="E53">
        <v>182.2</v>
      </c>
      <c r="F53">
        <v>155</v>
      </c>
      <c r="G53">
        <v>28</v>
      </c>
      <c r="H53">
        <v>58</v>
      </c>
      <c r="I53">
        <v>712</v>
      </c>
      <c r="J53">
        <v>46.43</v>
      </c>
      <c r="K53">
        <v>25.25</v>
      </c>
      <c r="L53">
        <v>0.1888</v>
      </c>
      <c r="M53">
        <v>1.9E-3</v>
      </c>
      <c r="N53">
        <v>0.65280000000000005</v>
      </c>
      <c r="O53">
        <v>0.78300000000000003</v>
      </c>
      <c r="P53">
        <v>307.13</v>
      </c>
      <c r="Q53">
        <v>7124.32</v>
      </c>
      <c r="R53">
        <v>4.0599999999999996</v>
      </c>
      <c r="S53">
        <v>12.59</v>
      </c>
      <c r="T53">
        <v>0.30969999999999998</v>
      </c>
      <c r="U53">
        <v>1.3120000000000001</v>
      </c>
      <c r="V53">
        <v>5.8731</v>
      </c>
      <c r="W53">
        <v>0.71530000000000005</v>
      </c>
      <c r="X53">
        <v>6.5799999999999997E-2</v>
      </c>
      <c r="Y53">
        <v>1.7070000000000001</v>
      </c>
      <c r="Z53">
        <v>93</v>
      </c>
      <c r="AA53" s="2">
        <v>1</v>
      </c>
      <c r="AB53">
        <v>92.8</v>
      </c>
      <c r="AC53" s="3">
        <v>1</v>
      </c>
    </row>
    <row r="54" spans="1:29" x14ac:dyDescent="0.3">
      <c r="A54" s="1">
        <f t="shared" si="0"/>
        <v>53</v>
      </c>
      <c r="B54">
        <v>2</v>
      </c>
      <c r="C54">
        <v>480.9</v>
      </c>
      <c r="D54">
        <v>201.1</v>
      </c>
      <c r="E54">
        <v>140</v>
      </c>
      <c r="F54">
        <v>130</v>
      </c>
      <c r="G54">
        <v>27</v>
      </c>
      <c r="H54">
        <v>52</v>
      </c>
      <c r="I54">
        <v>712</v>
      </c>
      <c r="J54">
        <v>26.38</v>
      </c>
      <c r="K54">
        <v>10.4</v>
      </c>
      <c r="L54">
        <v>0.26629999999999998</v>
      </c>
      <c r="M54">
        <v>2.8999999999999998E-3</v>
      </c>
      <c r="N54">
        <v>0.60129999999999995</v>
      </c>
      <c r="O54">
        <v>1.4181999999999999</v>
      </c>
      <c r="P54">
        <v>243.83</v>
      </c>
      <c r="Q54">
        <v>8051.38</v>
      </c>
      <c r="R54">
        <v>3.35</v>
      </c>
      <c r="S54">
        <v>86.72</v>
      </c>
      <c r="T54">
        <v>0.22439999999999999</v>
      </c>
      <c r="U54">
        <v>0.89100000000000001</v>
      </c>
      <c r="V54">
        <v>7.3156999999999996</v>
      </c>
      <c r="W54">
        <v>0.82809999999999995</v>
      </c>
      <c r="X54">
        <v>0.1099</v>
      </c>
      <c r="Y54">
        <v>1.9360999999999999</v>
      </c>
      <c r="Z54">
        <v>77.099999999999994</v>
      </c>
      <c r="AA54" s="2">
        <v>0</v>
      </c>
      <c r="AB54">
        <v>75.599999999999994</v>
      </c>
      <c r="AC54" s="3">
        <v>0</v>
      </c>
    </row>
    <row r="55" spans="1:29" x14ac:dyDescent="0.3">
      <c r="A55" s="1">
        <f t="shared" si="0"/>
        <v>54</v>
      </c>
      <c r="B55">
        <v>2</v>
      </c>
      <c r="C55">
        <v>621.9</v>
      </c>
      <c r="D55">
        <v>210.5</v>
      </c>
      <c r="E55">
        <v>141.6</v>
      </c>
      <c r="F55">
        <v>130</v>
      </c>
      <c r="G55">
        <v>27</v>
      </c>
      <c r="H55">
        <v>52</v>
      </c>
      <c r="I55">
        <v>712</v>
      </c>
      <c r="J55">
        <v>21.25</v>
      </c>
      <c r="K55">
        <v>8.9</v>
      </c>
      <c r="L55">
        <v>0.30459999999999998</v>
      </c>
      <c r="M55">
        <v>3.3999999999999998E-3</v>
      </c>
      <c r="N55">
        <v>0.65390000000000004</v>
      </c>
      <c r="O55">
        <v>1.3212999999999999</v>
      </c>
      <c r="P55">
        <v>293.88</v>
      </c>
      <c r="Q55">
        <v>12255.01</v>
      </c>
      <c r="R55">
        <v>3.15</v>
      </c>
      <c r="S55">
        <v>101.36</v>
      </c>
      <c r="T55">
        <v>0.19259999999999999</v>
      </c>
      <c r="U55">
        <v>1.0920000000000001</v>
      </c>
      <c r="V55">
        <v>8.6494999999999997</v>
      </c>
      <c r="W55">
        <v>0.8569</v>
      </c>
      <c r="X55">
        <v>0.1293</v>
      </c>
      <c r="Y55">
        <v>2.2225999999999999</v>
      </c>
      <c r="Z55">
        <v>80.900000000000006</v>
      </c>
      <c r="AA55" s="2">
        <v>0</v>
      </c>
      <c r="AB55">
        <v>79.099999999999994</v>
      </c>
      <c r="AC55" s="3">
        <v>0</v>
      </c>
    </row>
    <row r="56" spans="1:29" x14ac:dyDescent="0.3">
      <c r="A56" s="1">
        <f t="shared" si="0"/>
        <v>55</v>
      </c>
      <c r="B56">
        <v>2</v>
      </c>
      <c r="C56">
        <v>597</v>
      </c>
      <c r="D56">
        <v>180.4</v>
      </c>
      <c r="E56">
        <v>136.69999999999999</v>
      </c>
      <c r="F56">
        <v>150</v>
      </c>
      <c r="G56">
        <v>27</v>
      </c>
      <c r="H56">
        <v>56</v>
      </c>
      <c r="I56">
        <v>534</v>
      </c>
      <c r="J56">
        <v>34.26</v>
      </c>
      <c r="K56">
        <v>15.41</v>
      </c>
      <c r="L56">
        <v>0.22639999999999999</v>
      </c>
      <c r="M56">
        <v>5.5999999999999999E-3</v>
      </c>
      <c r="N56">
        <v>0.59660000000000002</v>
      </c>
      <c r="O56">
        <v>1.1144000000000001</v>
      </c>
      <c r="P56">
        <v>298.27999999999997</v>
      </c>
      <c r="Q56">
        <v>6656.95</v>
      </c>
      <c r="R56">
        <v>2.69</v>
      </c>
      <c r="S56">
        <v>68.900000000000006</v>
      </c>
      <c r="T56">
        <v>0.25679999999999997</v>
      </c>
      <c r="U56">
        <v>0.86199999999999999</v>
      </c>
      <c r="V56">
        <v>6.4829999999999997</v>
      </c>
      <c r="W56">
        <v>0.74260000000000004</v>
      </c>
      <c r="X56">
        <v>8.43E-2</v>
      </c>
      <c r="Y56">
        <v>2.2505999999999999</v>
      </c>
      <c r="Z56">
        <v>92.8</v>
      </c>
      <c r="AA56" s="2">
        <v>1</v>
      </c>
      <c r="AB56">
        <v>93</v>
      </c>
      <c r="AC56" s="3">
        <v>1</v>
      </c>
    </row>
    <row r="57" spans="1:29" x14ac:dyDescent="0.3">
      <c r="A57" s="1">
        <f t="shared" si="0"/>
        <v>56</v>
      </c>
      <c r="B57">
        <v>1</v>
      </c>
      <c r="C57">
        <v>708.8</v>
      </c>
      <c r="D57">
        <v>213</v>
      </c>
      <c r="E57">
        <v>127.7</v>
      </c>
      <c r="F57">
        <v>120</v>
      </c>
      <c r="G57">
        <v>32</v>
      </c>
      <c r="H57">
        <v>55</v>
      </c>
      <c r="I57">
        <v>566</v>
      </c>
      <c r="J57">
        <v>25.66</v>
      </c>
      <c r="K57">
        <v>9.66</v>
      </c>
      <c r="L57">
        <v>0.31719999999999998</v>
      </c>
      <c r="M57">
        <v>6.4999999999999997E-3</v>
      </c>
      <c r="N57">
        <v>0.8095</v>
      </c>
      <c r="O57">
        <v>0.84489999999999998</v>
      </c>
      <c r="P57">
        <v>293.33</v>
      </c>
      <c r="Q57">
        <v>10039.09</v>
      </c>
      <c r="R57">
        <v>2.5299999999999998</v>
      </c>
      <c r="S57">
        <v>57.58</v>
      </c>
      <c r="T57">
        <v>0.21310000000000001</v>
      </c>
      <c r="U57">
        <v>1.1121000000000001</v>
      </c>
      <c r="V57">
        <v>10.2864</v>
      </c>
      <c r="W57">
        <v>0.78280000000000005</v>
      </c>
      <c r="X57">
        <v>0.13439999999999999</v>
      </c>
      <c r="Y57">
        <v>3.0783</v>
      </c>
      <c r="Z57">
        <v>90.1</v>
      </c>
      <c r="AA57" s="2">
        <v>1</v>
      </c>
      <c r="AB57">
        <v>71.900000000000006</v>
      </c>
      <c r="AC57" s="3">
        <v>0</v>
      </c>
    </row>
    <row r="58" spans="1:29" x14ac:dyDescent="0.3">
      <c r="A58" s="1">
        <f t="shared" si="0"/>
        <v>57</v>
      </c>
      <c r="B58">
        <v>2</v>
      </c>
      <c r="C58">
        <v>380.7</v>
      </c>
      <c r="D58">
        <v>178.3</v>
      </c>
      <c r="E58">
        <v>102.9</v>
      </c>
      <c r="F58">
        <v>95</v>
      </c>
      <c r="G58">
        <v>34</v>
      </c>
      <c r="H58">
        <v>52</v>
      </c>
      <c r="I58">
        <v>712</v>
      </c>
      <c r="J58">
        <v>33.700000000000003</v>
      </c>
      <c r="K58">
        <v>20.39</v>
      </c>
      <c r="L58">
        <v>0.23130000000000001</v>
      </c>
      <c r="M58">
        <v>2.9999999999999997E-4</v>
      </c>
      <c r="N58">
        <v>0.49070000000000003</v>
      </c>
      <c r="O58">
        <v>1.3443000000000001</v>
      </c>
      <c r="P58">
        <v>216.7</v>
      </c>
      <c r="Q58">
        <v>4230.0200000000004</v>
      </c>
      <c r="R58">
        <v>3.92</v>
      </c>
      <c r="S58">
        <v>48.87</v>
      </c>
      <c r="T58">
        <v>0.30209999999999998</v>
      </c>
      <c r="U58">
        <v>0.74329999999999996</v>
      </c>
      <c r="V58">
        <v>5.6048999999999998</v>
      </c>
      <c r="W58">
        <v>0.6552</v>
      </c>
      <c r="X58">
        <v>0.10050000000000001</v>
      </c>
      <c r="Y58">
        <v>1.3411</v>
      </c>
      <c r="Z58">
        <v>87.5</v>
      </c>
      <c r="AA58" s="2">
        <v>0</v>
      </c>
      <c r="AB58">
        <v>89.3</v>
      </c>
      <c r="AC58" s="3">
        <v>0</v>
      </c>
    </row>
    <row r="59" spans="1:29" x14ac:dyDescent="0.3">
      <c r="A59" s="1">
        <f t="shared" si="0"/>
        <v>58</v>
      </c>
      <c r="B59">
        <v>2</v>
      </c>
      <c r="C59">
        <v>619.70000000000005</v>
      </c>
      <c r="D59">
        <v>182.6</v>
      </c>
      <c r="E59">
        <v>118.8</v>
      </c>
      <c r="F59">
        <v>110</v>
      </c>
      <c r="G59">
        <v>30</v>
      </c>
      <c r="H59">
        <v>51</v>
      </c>
      <c r="I59">
        <v>712</v>
      </c>
      <c r="J59">
        <v>29.61</v>
      </c>
      <c r="K59">
        <v>15.59</v>
      </c>
      <c r="L59">
        <v>0.23669999999999999</v>
      </c>
      <c r="M59">
        <v>1.9E-3</v>
      </c>
      <c r="N59">
        <v>0.5978</v>
      </c>
      <c r="O59">
        <v>1.0770999999999999</v>
      </c>
      <c r="P59">
        <v>347.89</v>
      </c>
      <c r="Q59">
        <v>7811.43</v>
      </c>
      <c r="R59">
        <v>3.55</v>
      </c>
      <c r="S59">
        <v>42.53</v>
      </c>
      <c r="T59">
        <v>0.26740000000000003</v>
      </c>
      <c r="U59">
        <v>1.0427</v>
      </c>
      <c r="V59">
        <v>6.2412999999999998</v>
      </c>
      <c r="W59">
        <v>0.72299999999999998</v>
      </c>
      <c r="X59">
        <v>9.8699999999999996E-2</v>
      </c>
      <c r="Y59">
        <v>1.7979000000000001</v>
      </c>
      <c r="Z59">
        <v>84.6</v>
      </c>
      <c r="AA59" s="2">
        <v>0</v>
      </c>
      <c r="AB59">
        <v>93.2</v>
      </c>
      <c r="AC59" s="3">
        <v>1</v>
      </c>
    </row>
    <row r="60" spans="1:29" x14ac:dyDescent="0.3">
      <c r="A60" s="1">
        <f t="shared" si="0"/>
        <v>59</v>
      </c>
      <c r="B60">
        <v>2</v>
      </c>
      <c r="C60">
        <v>431.3</v>
      </c>
      <c r="D60">
        <v>104.5</v>
      </c>
      <c r="E60">
        <v>139.5</v>
      </c>
      <c r="F60">
        <v>95</v>
      </c>
      <c r="G60">
        <v>34</v>
      </c>
      <c r="H60">
        <v>52</v>
      </c>
      <c r="I60">
        <v>446</v>
      </c>
      <c r="J60">
        <v>46.31</v>
      </c>
      <c r="K60">
        <v>34.72</v>
      </c>
      <c r="L60">
        <v>0.1008</v>
      </c>
      <c r="M60">
        <v>1E-4</v>
      </c>
      <c r="N60">
        <v>0.60860000000000003</v>
      </c>
      <c r="O60">
        <v>0.60809999999999997</v>
      </c>
      <c r="P60">
        <v>355.29</v>
      </c>
      <c r="Q60">
        <v>8847.83</v>
      </c>
      <c r="R60">
        <v>4.0599999999999996</v>
      </c>
      <c r="S60">
        <v>23.69</v>
      </c>
      <c r="T60">
        <v>0.38329999999999997</v>
      </c>
      <c r="U60">
        <v>1.3728</v>
      </c>
      <c r="V60">
        <v>2.3403</v>
      </c>
      <c r="W60">
        <v>0.72960000000000003</v>
      </c>
      <c r="X60">
        <v>5.3900000000000003E-2</v>
      </c>
      <c r="Y60">
        <v>1.7324999999999999</v>
      </c>
      <c r="Z60">
        <v>86.1</v>
      </c>
      <c r="AA60" s="2">
        <v>0</v>
      </c>
      <c r="AB60">
        <v>90.3</v>
      </c>
      <c r="AC60" s="3">
        <v>1</v>
      </c>
    </row>
    <row r="61" spans="1:29" x14ac:dyDescent="0.3">
      <c r="A61" s="1">
        <f t="shared" si="0"/>
        <v>60</v>
      </c>
      <c r="B61">
        <v>2</v>
      </c>
      <c r="C61">
        <v>740.9</v>
      </c>
      <c r="D61">
        <v>293.39999999999998</v>
      </c>
      <c r="E61">
        <v>114</v>
      </c>
      <c r="F61">
        <v>135</v>
      </c>
      <c r="G61">
        <v>26</v>
      </c>
      <c r="H61">
        <v>54</v>
      </c>
      <c r="I61">
        <v>920</v>
      </c>
      <c r="J61">
        <v>18.57</v>
      </c>
      <c r="K61">
        <v>7.9</v>
      </c>
      <c r="L61">
        <v>0.3422</v>
      </c>
      <c r="M61">
        <v>1.0500000000000001E-2</v>
      </c>
      <c r="N61">
        <v>0.66469999999999996</v>
      </c>
      <c r="O61">
        <v>1.4407000000000001</v>
      </c>
      <c r="P61">
        <v>270.22000000000003</v>
      </c>
      <c r="Q61">
        <v>9968.11</v>
      </c>
      <c r="R61">
        <v>2.92</v>
      </c>
      <c r="S61">
        <v>102.74</v>
      </c>
      <c r="T61">
        <v>0.13869999999999999</v>
      </c>
      <c r="U61">
        <v>0.86860000000000004</v>
      </c>
      <c r="V61">
        <v>9.5566999999999993</v>
      </c>
      <c r="W61">
        <v>0.87549999999999994</v>
      </c>
      <c r="X61">
        <v>0.15379999999999999</v>
      </c>
      <c r="Y61">
        <v>2.3147000000000002</v>
      </c>
      <c r="Z61">
        <v>88</v>
      </c>
      <c r="AA61" s="2">
        <v>0</v>
      </c>
      <c r="AB61">
        <v>79.8</v>
      </c>
      <c r="AC61" s="3">
        <v>0</v>
      </c>
    </row>
    <row r="62" spans="1:29" x14ac:dyDescent="0.3">
      <c r="A62" s="1">
        <f t="shared" si="0"/>
        <v>61</v>
      </c>
      <c r="B62">
        <v>2</v>
      </c>
      <c r="C62">
        <v>775.4</v>
      </c>
      <c r="D62">
        <v>185.1</v>
      </c>
      <c r="E62">
        <v>71.7</v>
      </c>
      <c r="F62">
        <v>60</v>
      </c>
      <c r="G62">
        <v>35</v>
      </c>
      <c r="H62">
        <v>46</v>
      </c>
      <c r="I62">
        <v>712</v>
      </c>
      <c r="J62">
        <v>26.93</v>
      </c>
      <c r="K62">
        <v>17.46</v>
      </c>
      <c r="L62">
        <v>0.25259999999999999</v>
      </c>
      <c r="M62">
        <v>4.4000000000000003E-3</v>
      </c>
      <c r="N62">
        <v>0.43309999999999998</v>
      </c>
      <c r="O62">
        <v>1.1739999999999999</v>
      </c>
      <c r="P62">
        <v>371.66</v>
      </c>
      <c r="Q62">
        <v>10802.63</v>
      </c>
      <c r="R62">
        <v>3.42</v>
      </c>
      <c r="S62">
        <v>48.44</v>
      </c>
      <c r="T62">
        <v>0.24399999999999999</v>
      </c>
      <c r="U62">
        <v>0.9647</v>
      </c>
      <c r="V62">
        <v>3.4251</v>
      </c>
      <c r="W62">
        <v>0.7006</v>
      </c>
      <c r="X62">
        <v>0.124</v>
      </c>
      <c r="Y62">
        <v>1.2567999999999999</v>
      </c>
      <c r="Z62">
        <v>92.5</v>
      </c>
      <c r="AA62" s="2">
        <v>1</v>
      </c>
      <c r="AB62">
        <v>88.8</v>
      </c>
      <c r="AC62" s="3">
        <v>0</v>
      </c>
    </row>
    <row r="63" spans="1:29" x14ac:dyDescent="0.3">
      <c r="A63" s="1">
        <f t="shared" si="0"/>
        <v>62</v>
      </c>
      <c r="B63">
        <v>1</v>
      </c>
      <c r="C63">
        <v>666.5</v>
      </c>
      <c r="D63">
        <v>164.2</v>
      </c>
      <c r="E63">
        <v>124.3</v>
      </c>
      <c r="F63">
        <v>85</v>
      </c>
      <c r="G63">
        <v>34</v>
      </c>
      <c r="H63">
        <v>50</v>
      </c>
      <c r="I63">
        <v>712</v>
      </c>
      <c r="J63">
        <v>26.85</v>
      </c>
      <c r="K63">
        <v>14.81</v>
      </c>
      <c r="L63">
        <v>0.24840000000000001</v>
      </c>
      <c r="M63">
        <v>4.7999999999999996E-3</v>
      </c>
      <c r="N63">
        <v>0.48609999999999998</v>
      </c>
      <c r="O63">
        <v>0.83850000000000002</v>
      </c>
      <c r="P63">
        <v>325.77</v>
      </c>
      <c r="Q63">
        <v>5145.93</v>
      </c>
      <c r="R63">
        <v>4.1900000000000004</v>
      </c>
      <c r="S63">
        <v>10.37</v>
      </c>
      <c r="T63">
        <v>0.2487</v>
      </c>
      <c r="U63">
        <v>0.98019999999999996</v>
      </c>
      <c r="V63">
        <v>5.9443999999999999</v>
      </c>
      <c r="W63">
        <v>0.72270000000000001</v>
      </c>
      <c r="X63">
        <v>0.113</v>
      </c>
      <c r="Y63">
        <v>1.2353000000000001</v>
      </c>
      <c r="Z63">
        <v>92.9</v>
      </c>
      <c r="AA63" s="2">
        <v>1</v>
      </c>
      <c r="AB63">
        <v>91.2</v>
      </c>
      <c r="AC63" s="3">
        <v>1</v>
      </c>
    </row>
    <row r="64" spans="1:29" x14ac:dyDescent="0.3">
      <c r="A64" s="1">
        <f t="shared" si="0"/>
        <v>63</v>
      </c>
      <c r="B64">
        <v>1</v>
      </c>
      <c r="C64">
        <v>1580.8</v>
      </c>
      <c r="D64">
        <v>223.9</v>
      </c>
      <c r="E64">
        <v>181</v>
      </c>
      <c r="F64">
        <v>165</v>
      </c>
      <c r="G64">
        <v>28</v>
      </c>
      <c r="H64">
        <v>60</v>
      </c>
      <c r="I64">
        <v>716</v>
      </c>
      <c r="J64">
        <v>24.86</v>
      </c>
      <c r="K64">
        <v>10.37</v>
      </c>
      <c r="L64">
        <v>0.33500000000000002</v>
      </c>
      <c r="M64">
        <v>8.6E-3</v>
      </c>
      <c r="N64">
        <v>0.62119999999999997</v>
      </c>
      <c r="O64">
        <v>0.66300000000000003</v>
      </c>
      <c r="P64">
        <v>429.86</v>
      </c>
      <c r="Q64">
        <v>2961.56</v>
      </c>
      <c r="R64">
        <v>3.08</v>
      </c>
      <c r="S64">
        <v>68.84</v>
      </c>
      <c r="T64">
        <v>0.1595</v>
      </c>
      <c r="U64">
        <v>1.4536</v>
      </c>
      <c r="V64">
        <v>14.1927</v>
      </c>
      <c r="W64">
        <v>0.83660000000000001</v>
      </c>
      <c r="X64">
        <v>0.1361</v>
      </c>
      <c r="Y64">
        <v>2.0278999999999998</v>
      </c>
      <c r="Z64">
        <v>96.7</v>
      </c>
      <c r="AA64" s="2">
        <v>1</v>
      </c>
      <c r="AB64">
        <v>93.7</v>
      </c>
      <c r="AC64" s="3">
        <v>1</v>
      </c>
    </row>
    <row r="65" spans="1:29" x14ac:dyDescent="0.3">
      <c r="A65" s="1">
        <f t="shared" si="0"/>
        <v>64</v>
      </c>
      <c r="B65">
        <v>1</v>
      </c>
      <c r="C65">
        <v>592.70000000000005</v>
      </c>
      <c r="D65">
        <v>157.80000000000001</v>
      </c>
      <c r="E65">
        <v>149.19999999999999</v>
      </c>
      <c r="F65">
        <v>140</v>
      </c>
      <c r="G65">
        <v>24</v>
      </c>
      <c r="H65">
        <v>51</v>
      </c>
      <c r="I65">
        <v>416</v>
      </c>
      <c r="J65">
        <v>41.57</v>
      </c>
      <c r="K65">
        <v>20.9</v>
      </c>
      <c r="L65">
        <v>0.21879999999999999</v>
      </c>
      <c r="M65">
        <v>2.3E-3</v>
      </c>
      <c r="N65">
        <v>0.69320000000000004</v>
      </c>
      <c r="O65">
        <v>0.70840000000000003</v>
      </c>
      <c r="P65">
        <v>317.10000000000002</v>
      </c>
      <c r="Q65">
        <v>8281.2999999999993</v>
      </c>
      <c r="R65">
        <v>2.6</v>
      </c>
      <c r="S65">
        <v>79.94</v>
      </c>
      <c r="T65">
        <v>0.2797</v>
      </c>
      <c r="U65">
        <v>1.1607000000000001</v>
      </c>
      <c r="V65">
        <v>6.6525999999999996</v>
      </c>
      <c r="W65">
        <v>0.70960000000000001</v>
      </c>
      <c r="X65">
        <v>8.2100000000000006E-2</v>
      </c>
      <c r="Y65">
        <v>2.8936000000000002</v>
      </c>
      <c r="Z65">
        <v>84.2</v>
      </c>
      <c r="AA65" s="2">
        <v>0</v>
      </c>
      <c r="AB65">
        <v>93.2</v>
      </c>
      <c r="AC65" s="3">
        <v>1</v>
      </c>
    </row>
    <row r="66" spans="1:29" x14ac:dyDescent="0.3">
      <c r="A66" s="1">
        <f t="shared" si="0"/>
        <v>65</v>
      </c>
      <c r="B66">
        <v>1</v>
      </c>
      <c r="C66">
        <v>383.9</v>
      </c>
      <c r="D66">
        <v>157.6</v>
      </c>
      <c r="E66">
        <v>106.3</v>
      </c>
      <c r="F66">
        <v>105</v>
      </c>
      <c r="G66">
        <v>32</v>
      </c>
      <c r="H66">
        <v>52</v>
      </c>
      <c r="I66">
        <v>712</v>
      </c>
      <c r="J66">
        <v>35.64</v>
      </c>
      <c r="K66">
        <v>20.46</v>
      </c>
      <c r="L66">
        <v>0.21490000000000001</v>
      </c>
      <c r="M66">
        <v>2E-3</v>
      </c>
      <c r="N66">
        <v>0.46039999999999998</v>
      </c>
      <c r="O66">
        <v>0.98960000000000004</v>
      </c>
      <c r="P66">
        <v>220.7</v>
      </c>
      <c r="Q66">
        <v>3055.35</v>
      </c>
      <c r="R66">
        <v>4.45</v>
      </c>
      <c r="S66">
        <v>1.96</v>
      </c>
      <c r="T66">
        <v>0.30620000000000003</v>
      </c>
      <c r="U66">
        <v>0.76700000000000002</v>
      </c>
      <c r="V66">
        <v>5.1241000000000003</v>
      </c>
      <c r="W66">
        <v>0.64910000000000001</v>
      </c>
      <c r="X66">
        <v>8.8099999999999998E-2</v>
      </c>
      <c r="Y66">
        <v>1.133</v>
      </c>
      <c r="Z66">
        <v>92.6</v>
      </c>
      <c r="AA66" s="2">
        <v>1</v>
      </c>
      <c r="AB66">
        <v>96.9</v>
      </c>
      <c r="AC66" s="3">
        <v>1</v>
      </c>
    </row>
    <row r="67" spans="1:29" x14ac:dyDescent="0.3">
      <c r="A67" s="1">
        <f t="shared" si="0"/>
        <v>66</v>
      </c>
      <c r="B67">
        <v>1</v>
      </c>
      <c r="C67">
        <v>467.5</v>
      </c>
      <c r="D67">
        <v>158.69999999999999</v>
      </c>
      <c r="E67">
        <v>110.3</v>
      </c>
      <c r="F67">
        <v>110</v>
      </c>
      <c r="G67">
        <v>30</v>
      </c>
      <c r="H67">
        <v>51</v>
      </c>
      <c r="I67">
        <v>712</v>
      </c>
      <c r="J67">
        <v>30.48</v>
      </c>
      <c r="K67">
        <v>15.83</v>
      </c>
      <c r="L67">
        <v>0.2281</v>
      </c>
      <c r="M67">
        <v>2.3E-3</v>
      </c>
      <c r="N67">
        <v>0.54859999999999998</v>
      </c>
      <c r="O67">
        <v>0.96919999999999995</v>
      </c>
      <c r="P67">
        <v>294.26</v>
      </c>
      <c r="Q67">
        <v>3462.73</v>
      </c>
      <c r="R67">
        <v>4.38</v>
      </c>
      <c r="S67">
        <v>2.93</v>
      </c>
      <c r="T67">
        <v>0.28949999999999998</v>
      </c>
      <c r="U67">
        <v>0.88360000000000005</v>
      </c>
      <c r="V67">
        <v>6.3635000000000002</v>
      </c>
      <c r="W67">
        <v>0.69479999999999997</v>
      </c>
      <c r="X67">
        <v>9.6000000000000002E-2</v>
      </c>
      <c r="Y67">
        <v>1.3421000000000001</v>
      </c>
      <c r="Z67">
        <v>97.6</v>
      </c>
      <c r="AA67" s="2">
        <v>1</v>
      </c>
      <c r="AB67">
        <v>99.8</v>
      </c>
      <c r="AC67" s="3">
        <v>1</v>
      </c>
    </row>
    <row r="68" spans="1:29" x14ac:dyDescent="0.3">
      <c r="A68" s="1">
        <f t="shared" ref="A68:A115" si="1">A67+1</f>
        <v>67</v>
      </c>
      <c r="B68">
        <v>2</v>
      </c>
      <c r="C68">
        <v>745</v>
      </c>
      <c r="D68">
        <v>231.9</v>
      </c>
      <c r="E68">
        <v>123.2</v>
      </c>
      <c r="F68">
        <v>130</v>
      </c>
      <c r="G68">
        <v>28</v>
      </c>
      <c r="H68">
        <v>54</v>
      </c>
      <c r="I68">
        <v>770</v>
      </c>
      <c r="J68">
        <v>20.52</v>
      </c>
      <c r="K68">
        <v>9.83</v>
      </c>
      <c r="L68">
        <v>0.29709999999999998</v>
      </c>
      <c r="M68">
        <v>9.4999999999999998E-3</v>
      </c>
      <c r="N68">
        <v>0.70120000000000005</v>
      </c>
      <c r="O68">
        <v>1.4827999999999999</v>
      </c>
      <c r="P68">
        <v>297.39999999999998</v>
      </c>
      <c r="Q68">
        <v>11964.6</v>
      </c>
      <c r="R68">
        <v>3.23</v>
      </c>
      <c r="S68">
        <v>120.57</v>
      </c>
      <c r="T68">
        <v>0.16589999999999999</v>
      </c>
      <c r="U68">
        <v>1.0165999999999999</v>
      </c>
      <c r="V68">
        <v>7.7255000000000003</v>
      </c>
      <c r="W68">
        <v>0.8468</v>
      </c>
      <c r="X68">
        <v>0.13289999999999999</v>
      </c>
      <c r="Y68">
        <v>2.3986000000000001</v>
      </c>
      <c r="Z68">
        <v>92.8</v>
      </c>
      <c r="AA68" s="2">
        <v>1</v>
      </c>
      <c r="AB68">
        <v>94.7</v>
      </c>
      <c r="AC68" s="3">
        <v>1</v>
      </c>
    </row>
    <row r="69" spans="1:29" x14ac:dyDescent="0.3">
      <c r="A69" s="1">
        <f t="shared" si="1"/>
        <v>68</v>
      </c>
      <c r="B69">
        <v>2</v>
      </c>
      <c r="C69">
        <v>464.9</v>
      </c>
      <c r="D69">
        <v>160.4</v>
      </c>
      <c r="E69">
        <v>131.80000000000001</v>
      </c>
      <c r="F69">
        <v>130</v>
      </c>
      <c r="G69">
        <v>31</v>
      </c>
      <c r="H69">
        <v>56</v>
      </c>
      <c r="I69">
        <v>712</v>
      </c>
      <c r="J69">
        <v>33.659999999999997</v>
      </c>
      <c r="K69">
        <v>16.39</v>
      </c>
      <c r="L69">
        <v>0.23330000000000001</v>
      </c>
      <c r="M69">
        <v>2.5999999999999999E-3</v>
      </c>
      <c r="N69">
        <v>0.60560000000000003</v>
      </c>
      <c r="O69">
        <v>0.90349999999999997</v>
      </c>
      <c r="P69">
        <v>293.69</v>
      </c>
      <c r="Q69">
        <v>6184.1</v>
      </c>
      <c r="R69">
        <v>4.26</v>
      </c>
      <c r="S69">
        <v>5.72</v>
      </c>
      <c r="T69">
        <v>0.26989999999999997</v>
      </c>
      <c r="U69">
        <v>1.0694999999999999</v>
      </c>
      <c r="V69">
        <v>6.4549000000000003</v>
      </c>
      <c r="W69">
        <v>0.73509999999999998</v>
      </c>
      <c r="X69">
        <v>9.0800000000000006E-2</v>
      </c>
      <c r="Y69">
        <v>1.4688000000000001</v>
      </c>
      <c r="Z69">
        <v>92.2</v>
      </c>
      <c r="AA69" s="2">
        <v>1</v>
      </c>
      <c r="AB69">
        <v>88.3</v>
      </c>
      <c r="AC69" s="3">
        <v>0</v>
      </c>
    </row>
    <row r="70" spans="1:29" x14ac:dyDescent="0.3">
      <c r="A70" s="1">
        <f t="shared" si="1"/>
        <v>69</v>
      </c>
      <c r="B70">
        <v>2</v>
      </c>
      <c r="C70">
        <v>496.3</v>
      </c>
      <c r="D70">
        <v>162.4</v>
      </c>
      <c r="E70">
        <v>166.1</v>
      </c>
      <c r="F70">
        <v>170</v>
      </c>
      <c r="G70">
        <v>25</v>
      </c>
      <c r="H70">
        <v>58</v>
      </c>
      <c r="I70">
        <v>712</v>
      </c>
      <c r="J70">
        <v>32.1</v>
      </c>
      <c r="K70">
        <v>14.49</v>
      </c>
      <c r="L70">
        <v>0.2344</v>
      </c>
      <c r="M70">
        <v>1.9E-3</v>
      </c>
      <c r="N70">
        <v>0.62380000000000002</v>
      </c>
      <c r="O70">
        <v>0.84399999999999997</v>
      </c>
      <c r="P70">
        <v>301.64</v>
      </c>
      <c r="Q70">
        <v>6706.03</v>
      </c>
      <c r="R70">
        <v>4.13</v>
      </c>
      <c r="S70">
        <v>11.21</v>
      </c>
      <c r="T70">
        <v>0.24790000000000001</v>
      </c>
      <c r="U70">
        <v>1.1839999999999999</v>
      </c>
      <c r="V70">
        <v>8.1136999999999997</v>
      </c>
      <c r="W70">
        <v>0.78890000000000005</v>
      </c>
      <c r="X70">
        <v>8.5699999999999998E-2</v>
      </c>
      <c r="Y70">
        <v>1.5438000000000001</v>
      </c>
      <c r="Z70">
        <v>90.1</v>
      </c>
      <c r="AA70" s="2">
        <v>1</v>
      </c>
      <c r="AB70">
        <v>94.6</v>
      </c>
      <c r="AC70" s="3">
        <v>1</v>
      </c>
    </row>
    <row r="71" spans="1:29" x14ac:dyDescent="0.3">
      <c r="A71" s="1">
        <f t="shared" si="1"/>
        <v>70</v>
      </c>
      <c r="B71">
        <v>2</v>
      </c>
      <c r="C71">
        <v>504.4</v>
      </c>
      <c r="D71">
        <v>216.6</v>
      </c>
      <c r="E71">
        <v>145.30000000000001</v>
      </c>
      <c r="F71">
        <v>145</v>
      </c>
      <c r="G71">
        <v>26</v>
      </c>
      <c r="H71">
        <v>54</v>
      </c>
      <c r="I71">
        <v>712</v>
      </c>
      <c r="J71">
        <v>34.76</v>
      </c>
      <c r="K71">
        <v>15.93</v>
      </c>
      <c r="L71">
        <v>0.245</v>
      </c>
      <c r="M71">
        <v>1.8E-3</v>
      </c>
      <c r="N71">
        <v>0.69530000000000003</v>
      </c>
      <c r="O71">
        <v>1.1271</v>
      </c>
      <c r="P71">
        <v>219.41</v>
      </c>
      <c r="Q71">
        <v>7506.01</v>
      </c>
      <c r="R71">
        <v>3.13</v>
      </c>
      <c r="S71">
        <v>65.650000000000006</v>
      </c>
      <c r="T71">
        <v>0.25509999999999999</v>
      </c>
      <c r="U71">
        <v>0.94520000000000004</v>
      </c>
      <c r="V71">
        <v>8.1860999999999997</v>
      </c>
      <c r="W71">
        <v>0.73860000000000003</v>
      </c>
      <c r="X71">
        <v>9.8299999999999998E-2</v>
      </c>
      <c r="Y71">
        <v>2.2221000000000002</v>
      </c>
      <c r="Z71">
        <v>94.4</v>
      </c>
      <c r="AA71" s="2">
        <v>1</v>
      </c>
      <c r="AB71">
        <v>93.9</v>
      </c>
      <c r="AC71" s="3">
        <v>1</v>
      </c>
    </row>
    <row r="72" spans="1:29" x14ac:dyDescent="0.3">
      <c r="A72" s="1">
        <f t="shared" si="1"/>
        <v>71</v>
      </c>
      <c r="B72">
        <v>2</v>
      </c>
      <c r="C72">
        <v>680</v>
      </c>
      <c r="D72">
        <v>167</v>
      </c>
      <c r="E72">
        <v>122.7</v>
      </c>
      <c r="F72">
        <v>120</v>
      </c>
      <c r="G72">
        <v>27</v>
      </c>
      <c r="H72">
        <v>50</v>
      </c>
      <c r="I72">
        <v>712</v>
      </c>
      <c r="J72">
        <v>26.7</v>
      </c>
      <c r="K72">
        <v>18.37</v>
      </c>
      <c r="L72">
        <v>0.17860000000000001</v>
      </c>
      <c r="M72">
        <v>2.0000000000000001E-4</v>
      </c>
      <c r="N72">
        <v>0.62029999999999996</v>
      </c>
      <c r="O72">
        <v>1.2470000000000001</v>
      </c>
      <c r="P72">
        <v>329.98</v>
      </c>
      <c r="Q72">
        <v>14182.76</v>
      </c>
      <c r="R72">
        <v>4.3499999999999996</v>
      </c>
      <c r="S72">
        <v>50.72</v>
      </c>
      <c r="T72">
        <v>0.28149999999999997</v>
      </c>
      <c r="U72">
        <v>1.2551000000000001</v>
      </c>
      <c r="V72">
        <v>4.5021000000000004</v>
      </c>
      <c r="W72">
        <v>0.83109999999999995</v>
      </c>
      <c r="X72">
        <v>7.8399999999999997E-2</v>
      </c>
      <c r="Y72">
        <v>1.5902000000000001</v>
      </c>
      <c r="Z72">
        <v>88.7</v>
      </c>
      <c r="AA72" s="2">
        <v>0</v>
      </c>
      <c r="AB72">
        <v>89.2</v>
      </c>
      <c r="AC72" s="3">
        <v>0</v>
      </c>
    </row>
    <row r="73" spans="1:29" x14ac:dyDescent="0.3">
      <c r="A73" s="1">
        <f t="shared" si="1"/>
        <v>72</v>
      </c>
      <c r="B73">
        <v>2</v>
      </c>
      <c r="C73">
        <v>507.8</v>
      </c>
      <c r="D73">
        <v>186</v>
      </c>
      <c r="E73">
        <v>79.3</v>
      </c>
      <c r="F73">
        <v>75</v>
      </c>
      <c r="G73">
        <v>33</v>
      </c>
      <c r="H73">
        <v>47</v>
      </c>
      <c r="I73">
        <v>712</v>
      </c>
      <c r="J73">
        <v>19.29</v>
      </c>
      <c r="K73">
        <v>8.33</v>
      </c>
      <c r="L73">
        <v>0.30459999999999998</v>
      </c>
      <c r="M73">
        <v>2.0999999999999999E-3</v>
      </c>
      <c r="N73">
        <v>0.4592</v>
      </c>
      <c r="O73">
        <v>1.5047999999999999</v>
      </c>
      <c r="P73">
        <v>283.95999999999998</v>
      </c>
      <c r="Q73">
        <v>9764.68</v>
      </c>
      <c r="R73">
        <v>3.45</v>
      </c>
      <c r="S73">
        <v>73.010000000000005</v>
      </c>
      <c r="T73">
        <v>0.23619999999999999</v>
      </c>
      <c r="U73">
        <v>0.80130000000000001</v>
      </c>
      <c r="V73">
        <v>5.8754</v>
      </c>
      <c r="W73">
        <v>0.7571</v>
      </c>
      <c r="X73">
        <v>0.1384</v>
      </c>
      <c r="Y73">
        <v>1.3962000000000001</v>
      </c>
      <c r="Z73">
        <v>92.3</v>
      </c>
      <c r="AA73" s="2">
        <v>1</v>
      </c>
      <c r="AB73">
        <v>85.6</v>
      </c>
      <c r="AC73" s="3">
        <v>0</v>
      </c>
    </row>
    <row r="74" spans="1:29" x14ac:dyDescent="0.3">
      <c r="A74" s="1">
        <f t="shared" si="1"/>
        <v>73</v>
      </c>
      <c r="B74">
        <v>2</v>
      </c>
      <c r="C74">
        <v>479.4</v>
      </c>
      <c r="D74">
        <v>202.6</v>
      </c>
      <c r="E74">
        <v>128.9</v>
      </c>
      <c r="F74">
        <v>120</v>
      </c>
      <c r="G74">
        <v>29</v>
      </c>
      <c r="H74">
        <v>52</v>
      </c>
      <c r="I74">
        <v>712</v>
      </c>
      <c r="J74">
        <v>28.95</v>
      </c>
      <c r="K74">
        <v>12.33</v>
      </c>
      <c r="L74">
        <v>0.25080000000000002</v>
      </c>
      <c r="M74">
        <v>3.0999999999999999E-3</v>
      </c>
      <c r="N74">
        <v>0.71450000000000002</v>
      </c>
      <c r="O74">
        <v>1.2414000000000001</v>
      </c>
      <c r="P74">
        <v>218.62</v>
      </c>
      <c r="Q74">
        <v>7413.04</v>
      </c>
      <c r="R74">
        <v>3.44</v>
      </c>
      <c r="S74">
        <v>82.03</v>
      </c>
      <c r="T74">
        <v>0.2492</v>
      </c>
      <c r="U74">
        <v>0.93059999999999998</v>
      </c>
      <c r="V74">
        <v>6.8967999999999998</v>
      </c>
      <c r="W74">
        <v>0.76390000000000002</v>
      </c>
      <c r="X74">
        <v>0.10050000000000001</v>
      </c>
      <c r="Y74">
        <v>2.1055000000000001</v>
      </c>
      <c r="Z74">
        <v>89.5</v>
      </c>
      <c r="AA74" s="2">
        <v>0</v>
      </c>
      <c r="AB74">
        <v>82.8</v>
      </c>
      <c r="AC74" s="3">
        <v>0</v>
      </c>
    </row>
    <row r="75" spans="1:29" x14ac:dyDescent="0.3">
      <c r="A75" s="1">
        <f t="shared" si="1"/>
        <v>74</v>
      </c>
      <c r="B75">
        <v>2</v>
      </c>
      <c r="C75">
        <v>1012.1</v>
      </c>
      <c r="D75">
        <v>209.9</v>
      </c>
      <c r="E75">
        <v>168.9</v>
      </c>
      <c r="F75">
        <v>120</v>
      </c>
      <c r="G75">
        <v>29</v>
      </c>
      <c r="H75">
        <v>52</v>
      </c>
      <c r="I75">
        <v>712</v>
      </c>
      <c r="J75">
        <v>34.94</v>
      </c>
      <c r="K75">
        <v>22.13</v>
      </c>
      <c r="L75">
        <v>0.19289999999999999</v>
      </c>
      <c r="M75">
        <v>4.0000000000000002E-4</v>
      </c>
      <c r="N75">
        <v>0.60799999999999998</v>
      </c>
      <c r="O75">
        <v>1.1397999999999999</v>
      </c>
      <c r="P75">
        <v>390.5</v>
      </c>
      <c r="Q75">
        <v>16795.759999999998</v>
      </c>
      <c r="R75">
        <v>3.3</v>
      </c>
      <c r="S75">
        <v>87.27</v>
      </c>
      <c r="T75">
        <v>0.24329999999999999</v>
      </c>
      <c r="U75">
        <v>1.302</v>
      </c>
      <c r="V75">
        <v>4.0023999999999997</v>
      </c>
      <c r="W75">
        <v>0.86370000000000002</v>
      </c>
      <c r="X75">
        <v>8.1299999999999997E-2</v>
      </c>
      <c r="Y75">
        <v>2.3494999999999999</v>
      </c>
      <c r="Z75">
        <v>93.1</v>
      </c>
      <c r="AA75" s="2">
        <v>1</v>
      </c>
      <c r="AB75">
        <v>93.8</v>
      </c>
      <c r="AC75" s="3">
        <v>1</v>
      </c>
    </row>
    <row r="76" spans="1:29" x14ac:dyDescent="0.3">
      <c r="A76" s="1">
        <f t="shared" si="1"/>
        <v>75</v>
      </c>
      <c r="B76">
        <v>1</v>
      </c>
      <c r="C76">
        <v>1189.4000000000001</v>
      </c>
      <c r="D76">
        <v>271.39999999999998</v>
      </c>
      <c r="E76">
        <v>155.19999999999999</v>
      </c>
      <c r="F76">
        <v>180</v>
      </c>
      <c r="G76">
        <v>25</v>
      </c>
      <c r="H76">
        <v>60</v>
      </c>
      <c r="I76">
        <v>1128</v>
      </c>
      <c r="J76">
        <v>33.22</v>
      </c>
      <c r="K76">
        <v>12.7</v>
      </c>
      <c r="L76">
        <v>0.26960000000000001</v>
      </c>
      <c r="M76">
        <v>4.7999999999999996E-3</v>
      </c>
      <c r="N76">
        <v>0.64910000000000001</v>
      </c>
      <c r="O76">
        <v>0.82799999999999996</v>
      </c>
      <c r="P76">
        <v>356.37</v>
      </c>
      <c r="Q76">
        <v>10471.02</v>
      </c>
      <c r="R76">
        <v>3.87</v>
      </c>
      <c r="S76">
        <v>27.99</v>
      </c>
      <c r="T76">
        <v>0.22339999999999999</v>
      </c>
      <c r="U76">
        <v>1.4219999999999999</v>
      </c>
      <c r="V76">
        <v>10.845599999999999</v>
      </c>
      <c r="W76">
        <v>0.77790000000000004</v>
      </c>
      <c r="X76">
        <v>0.1016</v>
      </c>
      <c r="Y76">
        <v>1.7009000000000001</v>
      </c>
      <c r="Z76">
        <v>98.5</v>
      </c>
      <c r="AA76" s="2">
        <v>1</v>
      </c>
      <c r="AB76">
        <v>97</v>
      </c>
      <c r="AC76" s="3">
        <v>1</v>
      </c>
    </row>
    <row r="77" spans="1:29" x14ac:dyDescent="0.3">
      <c r="A77" s="1">
        <f t="shared" si="1"/>
        <v>76</v>
      </c>
      <c r="B77">
        <v>2</v>
      </c>
      <c r="C77">
        <v>964</v>
      </c>
      <c r="D77">
        <v>228.2</v>
      </c>
      <c r="E77">
        <v>118.6</v>
      </c>
      <c r="F77">
        <v>105</v>
      </c>
      <c r="G77">
        <v>28</v>
      </c>
      <c r="H77">
        <v>48</v>
      </c>
      <c r="I77">
        <v>712</v>
      </c>
      <c r="J77">
        <v>25.75</v>
      </c>
      <c r="K77">
        <v>10.91</v>
      </c>
      <c r="L77">
        <v>0.28160000000000002</v>
      </c>
      <c r="M77">
        <v>3.8E-3</v>
      </c>
      <c r="N77">
        <v>0.65300000000000002</v>
      </c>
      <c r="O77">
        <v>1.1440999999999999</v>
      </c>
      <c r="P77">
        <v>342.45</v>
      </c>
      <c r="Q77">
        <v>11573.84</v>
      </c>
      <c r="R77">
        <v>3.06</v>
      </c>
      <c r="S77">
        <v>78.41</v>
      </c>
      <c r="T77">
        <v>0.2336</v>
      </c>
      <c r="U77">
        <v>1.0867</v>
      </c>
      <c r="V77">
        <v>7.9923000000000002</v>
      </c>
      <c r="W77">
        <v>0.76100000000000001</v>
      </c>
      <c r="X77">
        <v>0.1206</v>
      </c>
      <c r="Y77">
        <v>2.3317000000000001</v>
      </c>
      <c r="Z77">
        <v>91.8</v>
      </c>
      <c r="AA77" s="2">
        <v>1</v>
      </c>
      <c r="AB77">
        <v>91.6</v>
      </c>
      <c r="AC77" s="3">
        <v>1</v>
      </c>
    </row>
    <row r="78" spans="1:29" x14ac:dyDescent="0.3">
      <c r="A78" s="1">
        <f t="shared" si="1"/>
        <v>77</v>
      </c>
      <c r="B78">
        <v>2</v>
      </c>
      <c r="C78">
        <v>378</v>
      </c>
      <c r="D78">
        <v>173.7</v>
      </c>
      <c r="E78">
        <v>124.4</v>
      </c>
      <c r="F78">
        <v>125</v>
      </c>
      <c r="G78">
        <v>28</v>
      </c>
      <c r="H78">
        <v>52</v>
      </c>
      <c r="I78">
        <v>712</v>
      </c>
      <c r="J78">
        <v>31.57</v>
      </c>
      <c r="K78">
        <v>18.55</v>
      </c>
      <c r="L78">
        <v>0.21129999999999999</v>
      </c>
      <c r="M78">
        <v>5.0000000000000001E-3</v>
      </c>
      <c r="N78">
        <v>0.55510000000000004</v>
      </c>
      <c r="O78">
        <v>1.43</v>
      </c>
      <c r="P78">
        <v>236.45</v>
      </c>
      <c r="Q78">
        <v>5285.91</v>
      </c>
      <c r="R78">
        <v>3.85</v>
      </c>
      <c r="S78">
        <v>34.14</v>
      </c>
      <c r="T78">
        <v>0.2893</v>
      </c>
      <c r="U78">
        <v>0.73209999999999997</v>
      </c>
      <c r="V78">
        <v>6.2317</v>
      </c>
      <c r="W78">
        <v>0.7218</v>
      </c>
      <c r="X78">
        <v>9.1499999999999998E-2</v>
      </c>
      <c r="Y78">
        <v>1.3351</v>
      </c>
      <c r="Z78">
        <v>90.1</v>
      </c>
      <c r="AA78" s="2">
        <v>1</v>
      </c>
      <c r="AB78">
        <v>92.2</v>
      </c>
      <c r="AC78" s="3">
        <v>1</v>
      </c>
    </row>
    <row r="79" spans="1:29" x14ac:dyDescent="0.3">
      <c r="A79" s="1">
        <f t="shared" si="1"/>
        <v>78</v>
      </c>
      <c r="B79">
        <v>2</v>
      </c>
      <c r="C79">
        <v>634.20000000000005</v>
      </c>
      <c r="D79">
        <v>195.4</v>
      </c>
      <c r="E79">
        <v>134.4</v>
      </c>
      <c r="F79">
        <v>130</v>
      </c>
      <c r="G79">
        <v>28</v>
      </c>
      <c r="H79">
        <v>53</v>
      </c>
      <c r="I79">
        <v>712</v>
      </c>
      <c r="J79">
        <v>33.75</v>
      </c>
      <c r="K79">
        <v>21.84</v>
      </c>
      <c r="L79">
        <v>0.19919999999999999</v>
      </c>
      <c r="M79">
        <v>8.0000000000000004E-4</v>
      </c>
      <c r="N79">
        <v>0.77280000000000004</v>
      </c>
      <c r="O79">
        <v>1.6920999999999999</v>
      </c>
      <c r="P79">
        <v>286.97000000000003</v>
      </c>
      <c r="Q79">
        <v>11680.12</v>
      </c>
      <c r="R79">
        <v>3.81</v>
      </c>
      <c r="S79">
        <v>82.19</v>
      </c>
      <c r="T79">
        <v>0.25080000000000002</v>
      </c>
      <c r="U79">
        <v>1.0210999999999999</v>
      </c>
      <c r="V79">
        <v>4.9096000000000002</v>
      </c>
      <c r="W79">
        <v>0.8095</v>
      </c>
      <c r="X79">
        <v>8.5400000000000004E-2</v>
      </c>
      <c r="Y79">
        <v>2.2299000000000002</v>
      </c>
      <c r="Z79">
        <v>87.3</v>
      </c>
      <c r="AA79" s="2">
        <v>0</v>
      </c>
      <c r="AB79">
        <v>92.1</v>
      </c>
      <c r="AC79" s="3">
        <v>1</v>
      </c>
    </row>
    <row r="80" spans="1:29" x14ac:dyDescent="0.3">
      <c r="A80" s="1">
        <f t="shared" si="1"/>
        <v>79</v>
      </c>
      <c r="B80">
        <v>2</v>
      </c>
      <c r="C80">
        <v>778.7</v>
      </c>
      <c r="D80">
        <v>199.2</v>
      </c>
      <c r="E80">
        <v>108.6</v>
      </c>
      <c r="F80">
        <v>110</v>
      </c>
      <c r="G80">
        <v>30</v>
      </c>
      <c r="H80">
        <v>51</v>
      </c>
      <c r="I80">
        <v>712</v>
      </c>
      <c r="J80">
        <v>24.15</v>
      </c>
      <c r="K80">
        <v>11.39</v>
      </c>
      <c r="L80">
        <v>0.28549999999999998</v>
      </c>
      <c r="M80">
        <v>2.3999999999999998E-3</v>
      </c>
      <c r="N80">
        <v>0.62539999999999996</v>
      </c>
      <c r="O80">
        <v>1.385</v>
      </c>
      <c r="P80">
        <v>309.19</v>
      </c>
      <c r="Q80">
        <v>9175.93</v>
      </c>
      <c r="R80">
        <v>3.5</v>
      </c>
      <c r="S80">
        <v>78.22</v>
      </c>
      <c r="T80">
        <v>0.2324</v>
      </c>
      <c r="U80">
        <v>0.97140000000000004</v>
      </c>
      <c r="V80">
        <v>7.2061000000000002</v>
      </c>
      <c r="W80">
        <v>0.77259999999999995</v>
      </c>
      <c r="X80">
        <v>0.122</v>
      </c>
      <c r="Y80">
        <v>1.8309</v>
      </c>
      <c r="Z80">
        <v>93.8</v>
      </c>
      <c r="AA80" s="2">
        <v>1</v>
      </c>
      <c r="AB80">
        <v>92.1</v>
      </c>
      <c r="AC80" s="3">
        <v>1</v>
      </c>
    </row>
    <row r="81" spans="1:29" x14ac:dyDescent="0.3">
      <c r="A81" s="1">
        <f t="shared" si="1"/>
        <v>80</v>
      </c>
      <c r="B81">
        <v>2</v>
      </c>
      <c r="C81">
        <v>428.4</v>
      </c>
      <c r="D81">
        <v>160.6</v>
      </c>
      <c r="E81">
        <v>138.30000000000001</v>
      </c>
      <c r="F81">
        <v>110</v>
      </c>
      <c r="G81">
        <v>30</v>
      </c>
      <c r="H81">
        <v>51</v>
      </c>
      <c r="I81">
        <v>712</v>
      </c>
      <c r="J81">
        <v>31.96</v>
      </c>
      <c r="K81">
        <v>18.55</v>
      </c>
      <c r="L81">
        <v>0.21820000000000001</v>
      </c>
      <c r="M81">
        <v>2.3E-3</v>
      </c>
      <c r="N81">
        <v>0.42949999999999999</v>
      </c>
      <c r="O81">
        <v>0.84689999999999999</v>
      </c>
      <c r="P81">
        <v>318.68</v>
      </c>
      <c r="Q81">
        <v>4677.3999999999996</v>
      </c>
      <c r="R81">
        <v>4.21</v>
      </c>
      <c r="S81">
        <v>5.74</v>
      </c>
      <c r="T81">
        <v>0.31840000000000002</v>
      </c>
      <c r="U81">
        <v>0.98050000000000004</v>
      </c>
      <c r="V81">
        <v>5.6840999999999999</v>
      </c>
      <c r="W81">
        <v>0.75390000000000001</v>
      </c>
      <c r="X81">
        <v>8.8800000000000004E-2</v>
      </c>
      <c r="Y81">
        <v>1.1408</v>
      </c>
      <c r="Z81">
        <v>95</v>
      </c>
      <c r="AA81" s="2">
        <v>1</v>
      </c>
      <c r="AB81">
        <v>95.7</v>
      </c>
      <c r="AC81" s="3">
        <v>1</v>
      </c>
    </row>
    <row r="82" spans="1:29" x14ac:dyDescent="0.3">
      <c r="A82" s="1">
        <f t="shared" si="1"/>
        <v>81</v>
      </c>
      <c r="B82">
        <v>2</v>
      </c>
      <c r="C82">
        <v>512.1</v>
      </c>
      <c r="D82">
        <v>165.4</v>
      </c>
      <c r="E82">
        <v>137.5</v>
      </c>
      <c r="F82">
        <v>120</v>
      </c>
      <c r="G82">
        <v>30</v>
      </c>
      <c r="H82">
        <v>53</v>
      </c>
      <c r="I82">
        <v>712</v>
      </c>
      <c r="J82">
        <v>31.12</v>
      </c>
      <c r="K82">
        <v>15.46</v>
      </c>
      <c r="L82">
        <v>0.23300000000000001</v>
      </c>
      <c r="M82">
        <v>1.8E-3</v>
      </c>
      <c r="N82">
        <v>0.58730000000000004</v>
      </c>
      <c r="O82">
        <v>0.75319999999999998</v>
      </c>
      <c r="P82">
        <v>354.34</v>
      </c>
      <c r="Q82">
        <v>5424.66</v>
      </c>
      <c r="R82">
        <v>3.94</v>
      </c>
      <c r="S82">
        <v>12.59</v>
      </c>
      <c r="T82">
        <v>0.28549999999999998</v>
      </c>
      <c r="U82">
        <v>1.2243999999999999</v>
      </c>
      <c r="V82">
        <v>6.7468000000000004</v>
      </c>
      <c r="W82">
        <v>0.75380000000000003</v>
      </c>
      <c r="X82">
        <v>9.3899999999999997E-2</v>
      </c>
      <c r="Y82">
        <v>1.6341000000000001</v>
      </c>
      <c r="Z82">
        <v>94.8</v>
      </c>
      <c r="AA82" s="2">
        <v>1</v>
      </c>
      <c r="AB82">
        <v>98.4</v>
      </c>
      <c r="AC82" s="3">
        <v>1</v>
      </c>
    </row>
    <row r="83" spans="1:29" x14ac:dyDescent="0.3">
      <c r="A83" s="1">
        <f t="shared" si="1"/>
        <v>82</v>
      </c>
      <c r="B83">
        <v>2</v>
      </c>
      <c r="C83">
        <v>570.4</v>
      </c>
      <c r="D83">
        <v>216.2</v>
      </c>
      <c r="E83">
        <v>153.5</v>
      </c>
      <c r="F83">
        <v>140</v>
      </c>
      <c r="G83">
        <v>28</v>
      </c>
      <c r="H83">
        <v>55</v>
      </c>
      <c r="I83">
        <v>712</v>
      </c>
      <c r="J83">
        <v>31.4</v>
      </c>
      <c r="K83">
        <v>15.69</v>
      </c>
      <c r="L83">
        <v>0.25030000000000002</v>
      </c>
      <c r="M83">
        <v>3.0999999999999999E-3</v>
      </c>
      <c r="N83">
        <v>0.80669999999999997</v>
      </c>
      <c r="O83">
        <v>1.0968</v>
      </c>
      <c r="P83">
        <v>254.22</v>
      </c>
      <c r="Q83">
        <v>7447.02</v>
      </c>
      <c r="R83">
        <v>3.19</v>
      </c>
      <c r="S83">
        <v>56.18</v>
      </c>
      <c r="T83">
        <v>0.2437</v>
      </c>
      <c r="U83">
        <v>1.0411999999999999</v>
      </c>
      <c r="V83">
        <v>8.1224000000000007</v>
      </c>
      <c r="W83">
        <v>0.76890000000000003</v>
      </c>
      <c r="X83">
        <v>9.98E-2</v>
      </c>
      <c r="Y83">
        <v>2.6046</v>
      </c>
      <c r="Z83">
        <v>83.3</v>
      </c>
      <c r="AA83" s="2">
        <v>0</v>
      </c>
      <c r="AB83">
        <v>87.3</v>
      </c>
      <c r="AC83" s="3">
        <v>0</v>
      </c>
    </row>
    <row r="84" spans="1:29" x14ac:dyDescent="0.3">
      <c r="A84" s="1">
        <f t="shared" si="1"/>
        <v>83</v>
      </c>
      <c r="B84">
        <v>1</v>
      </c>
      <c r="C84">
        <v>1641.9</v>
      </c>
      <c r="D84">
        <v>384</v>
      </c>
      <c r="E84">
        <v>186.7</v>
      </c>
      <c r="F84">
        <v>185</v>
      </c>
      <c r="G84">
        <v>22</v>
      </c>
      <c r="H84">
        <v>59</v>
      </c>
      <c r="I84">
        <v>1067</v>
      </c>
      <c r="J84">
        <v>24.83</v>
      </c>
      <c r="K84">
        <v>8.8699999999999992</v>
      </c>
      <c r="L84">
        <v>0.32979999999999998</v>
      </c>
      <c r="M84">
        <v>7.7000000000000002E-3</v>
      </c>
      <c r="N84">
        <v>0.91400000000000003</v>
      </c>
      <c r="O84">
        <v>0.73919999999999997</v>
      </c>
      <c r="P84">
        <v>352.12</v>
      </c>
      <c r="Q84">
        <v>10801.97</v>
      </c>
      <c r="R84">
        <v>2.65</v>
      </c>
      <c r="S84">
        <v>32.29</v>
      </c>
      <c r="T84">
        <v>0.1608</v>
      </c>
      <c r="U84">
        <v>1.2709999999999999</v>
      </c>
      <c r="V84">
        <v>15.045</v>
      </c>
      <c r="W84">
        <v>0.85199999999999998</v>
      </c>
      <c r="X84">
        <v>0.13650000000000001</v>
      </c>
      <c r="Y84">
        <v>3.4687000000000001</v>
      </c>
      <c r="Z84">
        <v>93.8</v>
      </c>
      <c r="AA84" s="2">
        <v>1</v>
      </c>
      <c r="AB84">
        <v>86.7</v>
      </c>
      <c r="AC84" s="3">
        <v>0</v>
      </c>
    </row>
    <row r="85" spans="1:29" x14ac:dyDescent="0.3">
      <c r="A85" s="1">
        <f t="shared" si="1"/>
        <v>84</v>
      </c>
      <c r="B85">
        <v>1</v>
      </c>
      <c r="C85">
        <v>363.6</v>
      </c>
      <c r="D85">
        <v>94</v>
      </c>
      <c r="E85">
        <v>90.1</v>
      </c>
      <c r="F85">
        <v>85</v>
      </c>
      <c r="G85">
        <v>34</v>
      </c>
      <c r="H85">
        <v>50</v>
      </c>
      <c r="I85">
        <v>416</v>
      </c>
      <c r="J85">
        <v>34.61</v>
      </c>
      <c r="K85">
        <v>22.19</v>
      </c>
      <c r="L85">
        <v>0.18720000000000001</v>
      </c>
      <c r="M85">
        <v>5.0000000000000001E-4</v>
      </c>
      <c r="N85">
        <v>0.44090000000000001</v>
      </c>
      <c r="O85">
        <v>0.93010000000000004</v>
      </c>
      <c r="P85">
        <v>285.56</v>
      </c>
      <c r="Q85">
        <v>5324.57</v>
      </c>
      <c r="R85">
        <v>4.3</v>
      </c>
      <c r="S85">
        <v>4.17</v>
      </c>
      <c r="T85">
        <v>0.34799999999999998</v>
      </c>
      <c r="U85">
        <v>0.84379999999999999</v>
      </c>
      <c r="V85">
        <v>4.0376000000000003</v>
      </c>
      <c r="W85">
        <v>0.57550000000000001</v>
      </c>
      <c r="X85">
        <v>7.8700000000000006E-2</v>
      </c>
      <c r="Y85">
        <v>1.0579000000000001</v>
      </c>
      <c r="Z85">
        <v>85.1</v>
      </c>
      <c r="AA85" s="2">
        <v>0</v>
      </c>
      <c r="AB85">
        <v>90.7</v>
      </c>
      <c r="AC85" s="3">
        <v>1</v>
      </c>
    </row>
    <row r="86" spans="1:29" x14ac:dyDescent="0.3">
      <c r="A86" s="1">
        <f t="shared" si="1"/>
        <v>85</v>
      </c>
      <c r="B86">
        <v>1</v>
      </c>
      <c r="C86">
        <v>603.9</v>
      </c>
      <c r="D86">
        <v>185.7</v>
      </c>
      <c r="E86">
        <v>67.5</v>
      </c>
      <c r="F86">
        <v>60</v>
      </c>
      <c r="G86">
        <v>35</v>
      </c>
      <c r="H86">
        <v>46</v>
      </c>
      <c r="I86">
        <v>787</v>
      </c>
      <c r="J86">
        <v>19.88</v>
      </c>
      <c r="K86">
        <v>10.69</v>
      </c>
      <c r="L86">
        <v>0.26929999999999998</v>
      </c>
      <c r="M86">
        <v>8.0000000000000004E-4</v>
      </c>
      <c r="N86">
        <v>0.34370000000000001</v>
      </c>
      <c r="O86">
        <v>1.1200000000000001</v>
      </c>
      <c r="P86">
        <v>313.20999999999998</v>
      </c>
      <c r="Q86">
        <v>3377.8</v>
      </c>
      <c r="R86">
        <v>3.82</v>
      </c>
      <c r="S86">
        <v>14.39</v>
      </c>
      <c r="T86">
        <v>0.26450000000000001</v>
      </c>
      <c r="U86">
        <v>0.70540000000000003</v>
      </c>
      <c r="V86">
        <v>4.7202000000000002</v>
      </c>
      <c r="W86">
        <v>0.66510000000000002</v>
      </c>
      <c r="X86">
        <v>0.13</v>
      </c>
      <c r="Y86">
        <v>0.8952</v>
      </c>
      <c r="Z86">
        <v>91</v>
      </c>
      <c r="AA86" s="2">
        <v>1</v>
      </c>
      <c r="AB86">
        <v>96.2</v>
      </c>
      <c r="AC86" s="3">
        <v>1</v>
      </c>
    </row>
    <row r="87" spans="1:29" x14ac:dyDescent="0.3">
      <c r="A87" s="1">
        <f t="shared" si="1"/>
        <v>86</v>
      </c>
      <c r="B87">
        <v>2</v>
      </c>
      <c r="C87">
        <v>840.5</v>
      </c>
      <c r="D87">
        <v>215</v>
      </c>
      <c r="E87">
        <v>105.9</v>
      </c>
      <c r="F87">
        <v>90</v>
      </c>
      <c r="G87">
        <v>31</v>
      </c>
      <c r="H87">
        <v>48</v>
      </c>
      <c r="I87">
        <v>712</v>
      </c>
      <c r="J87">
        <v>15.74</v>
      </c>
      <c r="K87">
        <v>6.4</v>
      </c>
      <c r="L87">
        <v>0.34510000000000002</v>
      </c>
      <c r="M87">
        <v>3.8999999999999998E-3</v>
      </c>
      <c r="N87">
        <v>0.62460000000000004</v>
      </c>
      <c r="O87">
        <v>1.1837</v>
      </c>
      <c r="P87">
        <v>356.23</v>
      </c>
      <c r="Q87">
        <v>16214.21</v>
      </c>
      <c r="R87">
        <v>3</v>
      </c>
      <c r="S87">
        <v>110.76</v>
      </c>
      <c r="T87">
        <v>0.19089999999999999</v>
      </c>
      <c r="U87">
        <v>1.2485999999999999</v>
      </c>
      <c r="V87">
        <v>9.2080000000000002</v>
      </c>
      <c r="W87">
        <v>0.83389999999999997</v>
      </c>
      <c r="X87">
        <v>0.16619999999999999</v>
      </c>
      <c r="Y87">
        <v>2.1576</v>
      </c>
      <c r="Z87">
        <v>90.9</v>
      </c>
      <c r="AA87" s="2">
        <v>1</v>
      </c>
      <c r="AB87">
        <v>85.2</v>
      </c>
      <c r="AC87" s="3">
        <v>0</v>
      </c>
    </row>
    <row r="88" spans="1:29" x14ac:dyDescent="0.3">
      <c r="A88" s="1">
        <f t="shared" si="1"/>
        <v>87</v>
      </c>
      <c r="B88">
        <v>2</v>
      </c>
      <c r="C88">
        <v>341.3</v>
      </c>
      <c r="D88">
        <v>87.5</v>
      </c>
      <c r="E88">
        <v>51.6</v>
      </c>
      <c r="F88">
        <v>40</v>
      </c>
      <c r="G88">
        <v>37</v>
      </c>
      <c r="H88">
        <v>44</v>
      </c>
      <c r="I88">
        <v>356</v>
      </c>
      <c r="J88">
        <v>24.24</v>
      </c>
      <c r="K88">
        <v>18</v>
      </c>
      <c r="L88">
        <v>0.1673</v>
      </c>
      <c r="M88">
        <v>0</v>
      </c>
      <c r="N88">
        <v>0.16109999999999999</v>
      </c>
      <c r="O88">
        <v>2.6469999999999998</v>
      </c>
      <c r="P88">
        <v>364.49</v>
      </c>
      <c r="Q88">
        <v>10930.95</v>
      </c>
      <c r="R88">
        <v>3.69</v>
      </c>
      <c r="S88">
        <v>45.75</v>
      </c>
      <c r="T88">
        <v>0.29310000000000003</v>
      </c>
      <c r="U88">
        <v>0.45850000000000002</v>
      </c>
      <c r="V88">
        <v>2.387</v>
      </c>
      <c r="W88">
        <v>0.49940000000000001</v>
      </c>
      <c r="X88">
        <v>0.10639999999999999</v>
      </c>
      <c r="Y88">
        <v>0.4657</v>
      </c>
      <c r="Z88">
        <v>88</v>
      </c>
      <c r="AA88" s="2">
        <v>0</v>
      </c>
      <c r="AB88">
        <v>74</v>
      </c>
      <c r="AC88" s="3">
        <v>0</v>
      </c>
    </row>
    <row r="89" spans="1:29" x14ac:dyDescent="0.3">
      <c r="A89" s="1">
        <f t="shared" si="1"/>
        <v>88</v>
      </c>
      <c r="B89">
        <v>1</v>
      </c>
      <c r="C89">
        <v>471.4</v>
      </c>
      <c r="D89">
        <v>159.19999999999999</v>
      </c>
      <c r="E89">
        <v>127.1</v>
      </c>
      <c r="F89">
        <v>105</v>
      </c>
      <c r="G89">
        <v>30</v>
      </c>
      <c r="H89">
        <v>50</v>
      </c>
      <c r="I89">
        <v>712</v>
      </c>
      <c r="J89">
        <v>28.87</v>
      </c>
      <c r="K89">
        <v>15.72</v>
      </c>
      <c r="L89">
        <v>0.2303</v>
      </c>
      <c r="M89">
        <v>3.0999999999999999E-3</v>
      </c>
      <c r="N89">
        <v>0.50960000000000005</v>
      </c>
      <c r="O89">
        <v>1.0975999999999999</v>
      </c>
      <c r="P89">
        <v>281.35000000000002</v>
      </c>
      <c r="Q89">
        <v>3634.83</v>
      </c>
      <c r="R89">
        <v>4.3499999999999996</v>
      </c>
      <c r="S89">
        <v>2.96</v>
      </c>
      <c r="T89">
        <v>0.2908</v>
      </c>
      <c r="U89">
        <v>0.87019999999999997</v>
      </c>
      <c r="V89">
        <v>6.2351999999999999</v>
      </c>
      <c r="W89">
        <v>0.76649999999999996</v>
      </c>
      <c r="X89">
        <v>9.8900000000000002E-2</v>
      </c>
      <c r="Y89">
        <v>1.2498</v>
      </c>
      <c r="Z89">
        <v>93.9</v>
      </c>
      <c r="AA89" s="2">
        <v>1</v>
      </c>
      <c r="AB89">
        <v>97.9</v>
      </c>
      <c r="AC89" s="3">
        <v>1</v>
      </c>
    </row>
    <row r="90" spans="1:29" x14ac:dyDescent="0.3">
      <c r="A90" s="1">
        <f t="shared" si="1"/>
        <v>89</v>
      </c>
      <c r="B90">
        <v>2</v>
      </c>
      <c r="C90">
        <v>770.2</v>
      </c>
      <c r="D90">
        <v>265.60000000000002</v>
      </c>
      <c r="E90">
        <v>183.6</v>
      </c>
      <c r="F90">
        <v>175</v>
      </c>
      <c r="G90">
        <v>29</v>
      </c>
      <c r="H90">
        <v>63</v>
      </c>
      <c r="I90">
        <v>712</v>
      </c>
      <c r="J90">
        <v>38.58</v>
      </c>
      <c r="K90">
        <v>16.829999999999998</v>
      </c>
      <c r="L90">
        <v>0.25640000000000002</v>
      </c>
      <c r="M90">
        <v>3.3999999999999998E-3</v>
      </c>
      <c r="N90">
        <v>0.9375</v>
      </c>
      <c r="O90">
        <v>0.85770000000000002</v>
      </c>
      <c r="P90">
        <v>259.79000000000002</v>
      </c>
      <c r="Q90">
        <v>10813.11</v>
      </c>
      <c r="R90">
        <v>2.66</v>
      </c>
      <c r="S90">
        <v>34.51</v>
      </c>
      <c r="T90">
        <v>0.2417</v>
      </c>
      <c r="U90">
        <v>1.1386000000000001</v>
      </c>
      <c r="V90">
        <v>10.589399999999999</v>
      </c>
      <c r="W90">
        <v>0.79269999999999996</v>
      </c>
      <c r="X90">
        <v>9.6699999999999994E-2</v>
      </c>
      <c r="Y90">
        <v>3.6821999999999999</v>
      </c>
      <c r="Z90">
        <v>84.2</v>
      </c>
      <c r="AA90" s="2">
        <v>0</v>
      </c>
      <c r="AB90">
        <v>83.5</v>
      </c>
      <c r="AC90" s="3">
        <v>0</v>
      </c>
    </row>
    <row r="91" spans="1:29" x14ac:dyDescent="0.3">
      <c r="A91" s="1">
        <f t="shared" si="1"/>
        <v>90</v>
      </c>
      <c r="B91">
        <v>2</v>
      </c>
      <c r="C91">
        <v>585.9</v>
      </c>
      <c r="D91">
        <v>167.8</v>
      </c>
      <c r="E91">
        <v>106.4</v>
      </c>
      <c r="F91">
        <v>80</v>
      </c>
      <c r="G91">
        <v>33</v>
      </c>
      <c r="H91">
        <v>48</v>
      </c>
      <c r="I91">
        <v>712</v>
      </c>
      <c r="J91">
        <v>25.79</v>
      </c>
      <c r="K91">
        <v>11.9</v>
      </c>
      <c r="L91">
        <v>0.26690000000000003</v>
      </c>
      <c r="M91">
        <v>5.0000000000000001E-3</v>
      </c>
      <c r="N91">
        <v>0.49199999999999999</v>
      </c>
      <c r="O91">
        <v>0.84119999999999995</v>
      </c>
      <c r="P91">
        <v>346.47</v>
      </c>
      <c r="Q91">
        <v>8415.7199999999993</v>
      </c>
      <c r="R91">
        <v>3.88</v>
      </c>
      <c r="S91">
        <v>21.78</v>
      </c>
      <c r="T91">
        <v>0.26219999999999999</v>
      </c>
      <c r="U91">
        <v>1.2000999999999999</v>
      </c>
      <c r="V91">
        <v>5.7813999999999997</v>
      </c>
      <c r="W91">
        <v>0.71399999999999997</v>
      </c>
      <c r="X91">
        <v>0.1133</v>
      </c>
      <c r="Y91">
        <v>1.405</v>
      </c>
      <c r="Z91">
        <v>85.7</v>
      </c>
      <c r="AA91" s="2">
        <v>0</v>
      </c>
      <c r="AB91">
        <v>73.3</v>
      </c>
      <c r="AC91" s="3">
        <v>0</v>
      </c>
    </row>
    <row r="92" spans="1:29" x14ac:dyDescent="0.3">
      <c r="A92" s="1">
        <f t="shared" si="1"/>
        <v>91</v>
      </c>
      <c r="B92">
        <v>3</v>
      </c>
      <c r="C92">
        <v>1223.4000000000001</v>
      </c>
      <c r="D92">
        <v>222.4</v>
      </c>
      <c r="E92">
        <v>103.6</v>
      </c>
      <c r="F92">
        <v>60</v>
      </c>
      <c r="G92">
        <v>18</v>
      </c>
      <c r="H92">
        <v>23</v>
      </c>
      <c r="I92">
        <v>718</v>
      </c>
      <c r="J92">
        <v>25.44</v>
      </c>
      <c r="K92">
        <v>12.54</v>
      </c>
      <c r="L92">
        <v>0.24879999999999999</v>
      </c>
      <c r="M92">
        <v>0</v>
      </c>
      <c r="N92">
        <v>0.24210000000000001</v>
      </c>
      <c r="O92">
        <v>1.2659</v>
      </c>
      <c r="P92">
        <v>381.16</v>
      </c>
      <c r="Q92">
        <v>8063.2</v>
      </c>
      <c r="R92">
        <v>2.78</v>
      </c>
      <c r="S92">
        <v>77.319999999999993</v>
      </c>
      <c r="T92">
        <v>0.25900000000000001</v>
      </c>
      <c r="U92">
        <v>0.8498</v>
      </c>
      <c r="V92">
        <v>2.7219000000000002</v>
      </c>
      <c r="W92">
        <v>0.75680000000000003</v>
      </c>
      <c r="X92">
        <v>7.5600000000000001E-2</v>
      </c>
      <c r="Y92">
        <v>0.96030000000000004</v>
      </c>
      <c r="Z92">
        <v>99.4</v>
      </c>
      <c r="AA92" s="2">
        <v>1</v>
      </c>
      <c r="AB92">
        <v>96.1</v>
      </c>
      <c r="AC92" s="3">
        <v>1</v>
      </c>
    </row>
    <row r="93" spans="1:29" x14ac:dyDescent="0.3">
      <c r="A93" s="1">
        <f t="shared" si="1"/>
        <v>92</v>
      </c>
      <c r="B93">
        <v>2</v>
      </c>
      <c r="C93">
        <v>529.6</v>
      </c>
      <c r="D93">
        <v>211.8</v>
      </c>
      <c r="E93">
        <v>191.7</v>
      </c>
      <c r="F93">
        <v>140</v>
      </c>
      <c r="G93">
        <v>25</v>
      </c>
      <c r="H93">
        <v>52</v>
      </c>
      <c r="I93">
        <v>712</v>
      </c>
      <c r="J93">
        <v>31.1</v>
      </c>
      <c r="K93">
        <v>12.42</v>
      </c>
      <c r="L93">
        <v>0.25719999999999998</v>
      </c>
      <c r="M93">
        <v>2E-3</v>
      </c>
      <c r="N93">
        <v>0.72589999999999999</v>
      </c>
      <c r="O93">
        <v>1.153</v>
      </c>
      <c r="P93">
        <v>253.59</v>
      </c>
      <c r="Q93">
        <v>7401.56</v>
      </c>
      <c r="R93">
        <v>3.16</v>
      </c>
      <c r="S93">
        <v>53.76</v>
      </c>
      <c r="T93">
        <v>0.21659999999999999</v>
      </c>
      <c r="U93">
        <v>0.94340000000000002</v>
      </c>
      <c r="V93">
        <v>8.0288000000000004</v>
      </c>
      <c r="W93">
        <v>0.83930000000000005</v>
      </c>
      <c r="X93">
        <v>0.1014</v>
      </c>
      <c r="Y93">
        <v>2.2925</v>
      </c>
      <c r="Z93">
        <v>87.4</v>
      </c>
      <c r="AA93" s="2">
        <v>0</v>
      </c>
      <c r="AB93">
        <v>82.8</v>
      </c>
      <c r="AC93" s="3">
        <v>0</v>
      </c>
    </row>
    <row r="94" spans="1:29" x14ac:dyDescent="0.3">
      <c r="A94" s="1">
        <f t="shared" si="1"/>
        <v>93</v>
      </c>
      <c r="B94">
        <v>2</v>
      </c>
      <c r="C94">
        <v>465.8</v>
      </c>
      <c r="D94">
        <v>211.2</v>
      </c>
      <c r="E94">
        <v>209.2</v>
      </c>
      <c r="F94">
        <v>155</v>
      </c>
      <c r="G94">
        <v>23</v>
      </c>
      <c r="H94">
        <v>53</v>
      </c>
      <c r="I94">
        <v>712</v>
      </c>
      <c r="J94">
        <v>42.05</v>
      </c>
      <c r="K94">
        <v>20.84</v>
      </c>
      <c r="L94">
        <v>0.2087</v>
      </c>
      <c r="M94">
        <v>2E-3</v>
      </c>
      <c r="N94">
        <v>0.73299999999999998</v>
      </c>
      <c r="O94">
        <v>1.1005</v>
      </c>
      <c r="P94">
        <v>202.17</v>
      </c>
      <c r="Q94">
        <v>6361.93</v>
      </c>
      <c r="R94">
        <v>3.3</v>
      </c>
      <c r="S94">
        <v>67.930000000000007</v>
      </c>
      <c r="T94">
        <v>0.26300000000000001</v>
      </c>
      <c r="U94">
        <v>0.98270000000000002</v>
      </c>
      <c r="V94">
        <v>6.8714000000000004</v>
      </c>
      <c r="W94">
        <v>0.8044</v>
      </c>
      <c r="X94">
        <v>7.8899999999999998E-2</v>
      </c>
      <c r="Y94">
        <v>2.427</v>
      </c>
      <c r="Z94">
        <v>84.2</v>
      </c>
      <c r="AA94" s="2">
        <v>0</v>
      </c>
      <c r="AB94">
        <v>76.3</v>
      </c>
      <c r="AC94" s="3">
        <v>0</v>
      </c>
    </row>
    <row r="95" spans="1:29" x14ac:dyDescent="0.3">
      <c r="A95" s="1">
        <f t="shared" si="1"/>
        <v>94</v>
      </c>
      <c r="B95">
        <v>2</v>
      </c>
      <c r="C95">
        <v>663.7</v>
      </c>
      <c r="D95">
        <v>206.3</v>
      </c>
      <c r="E95">
        <v>128.69999999999999</v>
      </c>
      <c r="F95">
        <v>125</v>
      </c>
      <c r="G95">
        <v>29</v>
      </c>
      <c r="H95">
        <v>53</v>
      </c>
      <c r="I95">
        <v>712</v>
      </c>
      <c r="J95">
        <v>22.83</v>
      </c>
      <c r="K95">
        <v>9.76</v>
      </c>
      <c r="L95">
        <v>0.29459999999999997</v>
      </c>
      <c r="M95">
        <v>5.4000000000000003E-3</v>
      </c>
      <c r="N95">
        <v>0.71819999999999995</v>
      </c>
      <c r="O95">
        <v>1.2143999999999999</v>
      </c>
      <c r="P95">
        <v>314.11</v>
      </c>
      <c r="Q95">
        <v>14487.88</v>
      </c>
      <c r="R95">
        <v>3.19</v>
      </c>
      <c r="S95">
        <v>62.11</v>
      </c>
      <c r="T95">
        <v>0.19139999999999999</v>
      </c>
      <c r="U95">
        <v>1.1774</v>
      </c>
      <c r="V95">
        <v>8.5914000000000001</v>
      </c>
      <c r="W95">
        <v>0.82499999999999996</v>
      </c>
      <c r="X95">
        <v>0.1303</v>
      </c>
      <c r="Y95">
        <v>2.3016000000000001</v>
      </c>
      <c r="Z95">
        <v>94.6</v>
      </c>
      <c r="AA95" s="2">
        <v>1</v>
      </c>
      <c r="AB95">
        <v>96.5</v>
      </c>
      <c r="AC95" s="3">
        <v>1</v>
      </c>
    </row>
    <row r="96" spans="1:29" x14ac:dyDescent="0.3">
      <c r="A96" s="1">
        <f t="shared" si="1"/>
        <v>95</v>
      </c>
      <c r="B96">
        <v>2</v>
      </c>
      <c r="C96">
        <v>1018.5</v>
      </c>
      <c r="D96">
        <v>254.8</v>
      </c>
      <c r="E96">
        <v>147.1</v>
      </c>
      <c r="F96">
        <v>145</v>
      </c>
      <c r="G96">
        <v>26</v>
      </c>
      <c r="H96">
        <v>54</v>
      </c>
      <c r="I96">
        <v>712</v>
      </c>
      <c r="J96">
        <v>27.9</v>
      </c>
      <c r="K96">
        <v>10.56</v>
      </c>
      <c r="L96">
        <v>0.28100000000000003</v>
      </c>
      <c r="M96">
        <v>6.6E-3</v>
      </c>
      <c r="N96">
        <v>0.77890000000000004</v>
      </c>
      <c r="O96">
        <v>0.94210000000000005</v>
      </c>
      <c r="P96">
        <v>339.84</v>
      </c>
      <c r="Q96">
        <v>11910.4</v>
      </c>
      <c r="R96">
        <v>2.6</v>
      </c>
      <c r="S96">
        <v>80.22</v>
      </c>
      <c r="T96">
        <v>0.214</v>
      </c>
      <c r="U96">
        <v>1.2195</v>
      </c>
      <c r="V96">
        <v>9.6308000000000007</v>
      </c>
      <c r="W96">
        <v>0.78879999999999995</v>
      </c>
      <c r="X96">
        <v>0.11310000000000001</v>
      </c>
      <c r="Y96">
        <v>3.1208999999999998</v>
      </c>
      <c r="Z96">
        <v>95.4</v>
      </c>
      <c r="AA96" s="2">
        <v>1</v>
      </c>
      <c r="AB96">
        <v>93.3</v>
      </c>
      <c r="AC96" s="3">
        <v>1</v>
      </c>
    </row>
    <row r="97" spans="1:29" x14ac:dyDescent="0.3">
      <c r="A97" s="1">
        <f t="shared" si="1"/>
        <v>96</v>
      </c>
      <c r="B97">
        <v>2</v>
      </c>
      <c r="C97">
        <v>1063.5999999999999</v>
      </c>
      <c r="D97">
        <v>272.3</v>
      </c>
      <c r="E97">
        <v>197.3</v>
      </c>
      <c r="F97">
        <v>195</v>
      </c>
      <c r="G97">
        <v>24</v>
      </c>
      <c r="H97">
        <v>63</v>
      </c>
      <c r="I97">
        <v>1128</v>
      </c>
      <c r="J97">
        <v>34.22</v>
      </c>
      <c r="K97">
        <v>15.1</v>
      </c>
      <c r="L97">
        <v>0.26019999999999999</v>
      </c>
      <c r="M97">
        <v>6.0000000000000001E-3</v>
      </c>
      <c r="N97">
        <v>0.62860000000000005</v>
      </c>
      <c r="O97">
        <v>0.87580000000000002</v>
      </c>
      <c r="P97">
        <v>356.25</v>
      </c>
      <c r="Q97">
        <v>12218.46</v>
      </c>
      <c r="R97">
        <v>3.78</v>
      </c>
      <c r="S97">
        <v>32.700000000000003</v>
      </c>
      <c r="T97">
        <v>0.20039999999999999</v>
      </c>
      <c r="U97">
        <v>1.4205000000000001</v>
      </c>
      <c r="V97">
        <v>10.1691</v>
      </c>
      <c r="W97">
        <v>0.84050000000000002</v>
      </c>
      <c r="X97">
        <v>9.9500000000000005E-2</v>
      </c>
      <c r="Y97">
        <v>1.7404999999999999</v>
      </c>
      <c r="Z97">
        <v>98.5</v>
      </c>
      <c r="AA97" s="2">
        <v>1</v>
      </c>
      <c r="AB97">
        <v>97.7</v>
      </c>
      <c r="AC97" s="3">
        <v>1</v>
      </c>
    </row>
    <row r="98" spans="1:29" x14ac:dyDescent="0.3">
      <c r="A98" s="1">
        <f t="shared" si="1"/>
        <v>97</v>
      </c>
      <c r="B98">
        <v>2</v>
      </c>
      <c r="C98">
        <v>1059.5</v>
      </c>
      <c r="D98">
        <v>232.9</v>
      </c>
      <c r="E98">
        <v>154.19999999999999</v>
      </c>
      <c r="F98">
        <v>145</v>
      </c>
      <c r="G98">
        <v>26</v>
      </c>
      <c r="H98">
        <v>56</v>
      </c>
      <c r="I98">
        <v>934</v>
      </c>
      <c r="J98">
        <v>19.100000000000001</v>
      </c>
      <c r="K98">
        <v>8.1199999999999992</v>
      </c>
      <c r="L98">
        <v>0.32840000000000003</v>
      </c>
      <c r="M98">
        <v>6.4999999999999997E-3</v>
      </c>
      <c r="N98">
        <v>0.67689999999999995</v>
      </c>
      <c r="O98">
        <v>1.0951</v>
      </c>
      <c r="P98">
        <v>370.06</v>
      </c>
      <c r="Q98">
        <v>12021.51</v>
      </c>
      <c r="R98">
        <v>3.65</v>
      </c>
      <c r="S98">
        <v>47.26</v>
      </c>
      <c r="T98">
        <v>0.1749</v>
      </c>
      <c r="U98">
        <v>1.4292</v>
      </c>
      <c r="V98">
        <v>11.8698</v>
      </c>
      <c r="W98">
        <v>0.86240000000000006</v>
      </c>
      <c r="X98">
        <v>0.14019999999999999</v>
      </c>
      <c r="Y98">
        <v>1.8522000000000001</v>
      </c>
      <c r="Z98">
        <v>75.2</v>
      </c>
      <c r="AA98" s="2">
        <v>0</v>
      </c>
      <c r="AB98">
        <v>60.9</v>
      </c>
      <c r="AC98" s="3">
        <v>0</v>
      </c>
    </row>
    <row r="99" spans="1:29" x14ac:dyDescent="0.3">
      <c r="A99" s="1">
        <f t="shared" si="1"/>
        <v>98</v>
      </c>
      <c r="B99">
        <v>2</v>
      </c>
      <c r="C99">
        <v>526</v>
      </c>
      <c r="D99">
        <v>206.7</v>
      </c>
      <c r="E99">
        <v>114.9</v>
      </c>
      <c r="F99">
        <v>110</v>
      </c>
      <c r="G99">
        <v>22</v>
      </c>
      <c r="H99">
        <v>43</v>
      </c>
      <c r="I99">
        <v>712</v>
      </c>
      <c r="J99">
        <v>24.67</v>
      </c>
      <c r="K99">
        <v>10.7</v>
      </c>
      <c r="L99">
        <v>0.2843</v>
      </c>
      <c r="M99">
        <v>4.7999999999999996E-3</v>
      </c>
      <c r="N99">
        <v>0.61409999999999998</v>
      </c>
      <c r="O99">
        <v>1.2222</v>
      </c>
      <c r="P99">
        <v>248.68</v>
      </c>
      <c r="Q99">
        <v>11253.19</v>
      </c>
      <c r="R99">
        <v>3.36</v>
      </c>
      <c r="S99">
        <v>87.95</v>
      </c>
      <c r="T99">
        <v>0.2382</v>
      </c>
      <c r="U99">
        <v>0.97740000000000005</v>
      </c>
      <c r="V99">
        <v>8.1143000000000001</v>
      </c>
      <c r="W99">
        <v>0.81989999999999996</v>
      </c>
      <c r="X99">
        <v>0.1211</v>
      </c>
      <c r="Y99">
        <v>1.9486000000000001</v>
      </c>
      <c r="Z99">
        <v>74.099999999999994</v>
      </c>
      <c r="AA99" s="2">
        <v>0</v>
      </c>
      <c r="AB99">
        <v>71.5</v>
      </c>
      <c r="AC99" s="3">
        <v>0</v>
      </c>
    </row>
    <row r="100" spans="1:29" x14ac:dyDescent="0.3">
      <c r="A100" s="1">
        <f t="shared" si="1"/>
        <v>99</v>
      </c>
      <c r="B100">
        <v>2</v>
      </c>
      <c r="C100">
        <v>514</v>
      </c>
      <c r="D100">
        <v>223.6</v>
      </c>
      <c r="E100">
        <v>173.9</v>
      </c>
      <c r="F100">
        <v>150</v>
      </c>
      <c r="G100">
        <v>25</v>
      </c>
      <c r="H100">
        <v>54</v>
      </c>
      <c r="I100">
        <v>712</v>
      </c>
      <c r="J100">
        <v>43.4</v>
      </c>
      <c r="K100">
        <v>19.510000000000002</v>
      </c>
      <c r="L100">
        <v>0.22559999999999999</v>
      </c>
      <c r="M100">
        <v>2.0999999999999999E-3</v>
      </c>
      <c r="N100">
        <v>0.82989999999999997</v>
      </c>
      <c r="O100">
        <v>0.96650000000000003</v>
      </c>
      <c r="P100">
        <v>235.05</v>
      </c>
      <c r="Q100">
        <v>8042.38</v>
      </c>
      <c r="R100">
        <v>3.06</v>
      </c>
      <c r="S100">
        <v>64.83</v>
      </c>
      <c r="T100">
        <v>0.29239999999999999</v>
      </c>
      <c r="U100">
        <v>1.0605</v>
      </c>
      <c r="V100">
        <v>8.2156000000000002</v>
      </c>
      <c r="W100">
        <v>0.72089999999999999</v>
      </c>
      <c r="X100">
        <v>8.5699999999999998E-2</v>
      </c>
      <c r="Y100">
        <v>2.7309000000000001</v>
      </c>
      <c r="Z100">
        <v>87.1</v>
      </c>
      <c r="AA100" s="2">
        <v>0</v>
      </c>
      <c r="AB100">
        <v>83.9</v>
      </c>
      <c r="AC100" s="3">
        <v>0</v>
      </c>
    </row>
    <row r="101" spans="1:29" x14ac:dyDescent="0.3">
      <c r="A101" s="1">
        <f t="shared" si="1"/>
        <v>100</v>
      </c>
      <c r="B101">
        <v>2</v>
      </c>
      <c r="C101">
        <v>534.1</v>
      </c>
      <c r="D101">
        <v>207.7</v>
      </c>
      <c r="E101">
        <v>119.8</v>
      </c>
      <c r="F101">
        <v>110</v>
      </c>
      <c r="G101">
        <v>22</v>
      </c>
      <c r="H101">
        <v>43</v>
      </c>
      <c r="I101">
        <v>712</v>
      </c>
      <c r="J101">
        <v>25.24</v>
      </c>
      <c r="K101">
        <v>10.27</v>
      </c>
      <c r="L101">
        <v>0.2752</v>
      </c>
      <c r="M101">
        <v>2.3999999999999998E-3</v>
      </c>
      <c r="N101">
        <v>0.7218</v>
      </c>
      <c r="O101">
        <v>1.1618999999999999</v>
      </c>
      <c r="P101">
        <v>269.63</v>
      </c>
      <c r="Q101">
        <v>10351.19</v>
      </c>
      <c r="R101">
        <v>3.23</v>
      </c>
      <c r="S101">
        <v>101.77</v>
      </c>
      <c r="T101">
        <v>0.24310000000000001</v>
      </c>
      <c r="U101">
        <v>1.1177999999999999</v>
      </c>
      <c r="V101">
        <v>7.7287999999999997</v>
      </c>
      <c r="W101">
        <v>0.82750000000000001</v>
      </c>
      <c r="X101">
        <v>0.1147</v>
      </c>
      <c r="Y101">
        <v>2.2061999999999999</v>
      </c>
      <c r="Z101">
        <v>81.400000000000006</v>
      </c>
      <c r="AA101" s="2">
        <v>0</v>
      </c>
      <c r="AB101">
        <v>79.400000000000006</v>
      </c>
      <c r="AC101" s="3">
        <v>0</v>
      </c>
    </row>
    <row r="102" spans="1:29" x14ac:dyDescent="0.3">
      <c r="A102" s="1">
        <f t="shared" si="1"/>
        <v>101</v>
      </c>
      <c r="B102">
        <v>2</v>
      </c>
      <c r="C102">
        <v>445.1</v>
      </c>
      <c r="D102">
        <v>178.7</v>
      </c>
      <c r="E102">
        <v>96.9</v>
      </c>
      <c r="F102">
        <v>100</v>
      </c>
      <c r="G102">
        <v>30</v>
      </c>
      <c r="H102">
        <v>49</v>
      </c>
      <c r="I102">
        <v>712</v>
      </c>
      <c r="J102">
        <v>23.63</v>
      </c>
      <c r="K102">
        <v>11.07</v>
      </c>
      <c r="L102">
        <v>0.25309999999999999</v>
      </c>
      <c r="M102">
        <v>4.0000000000000001E-3</v>
      </c>
      <c r="N102">
        <v>0.50529999999999997</v>
      </c>
      <c r="O102">
        <v>1.4156</v>
      </c>
      <c r="P102">
        <v>291.37</v>
      </c>
      <c r="Q102">
        <v>6127.08</v>
      </c>
      <c r="R102">
        <v>3.48</v>
      </c>
      <c r="S102">
        <v>42.19</v>
      </c>
      <c r="T102">
        <v>0.27110000000000001</v>
      </c>
      <c r="U102">
        <v>0.82279999999999998</v>
      </c>
      <c r="V102">
        <v>6.6303000000000001</v>
      </c>
      <c r="W102">
        <v>0.72489999999999999</v>
      </c>
      <c r="X102">
        <v>0.1103</v>
      </c>
      <c r="Y102">
        <v>1.5175000000000001</v>
      </c>
      <c r="Z102">
        <v>99.1</v>
      </c>
      <c r="AA102" s="2">
        <v>1</v>
      </c>
      <c r="AB102">
        <v>98.6</v>
      </c>
      <c r="AC102" s="3">
        <v>1</v>
      </c>
    </row>
    <row r="103" spans="1:29" x14ac:dyDescent="0.3">
      <c r="A103" s="1">
        <f t="shared" si="1"/>
        <v>102</v>
      </c>
      <c r="B103">
        <v>2</v>
      </c>
      <c r="C103">
        <v>353</v>
      </c>
      <c r="D103">
        <v>179.1</v>
      </c>
      <c r="E103">
        <v>160.5</v>
      </c>
      <c r="F103">
        <v>140</v>
      </c>
      <c r="G103">
        <v>27</v>
      </c>
      <c r="H103">
        <v>54</v>
      </c>
      <c r="I103">
        <v>712</v>
      </c>
      <c r="J103">
        <v>41.26</v>
      </c>
      <c r="K103">
        <v>21.05</v>
      </c>
      <c r="L103">
        <v>0.1925</v>
      </c>
      <c r="M103">
        <v>1E-3</v>
      </c>
      <c r="N103">
        <v>0.59930000000000005</v>
      </c>
      <c r="O103">
        <v>1.2319</v>
      </c>
      <c r="P103">
        <v>218.53</v>
      </c>
      <c r="Q103">
        <v>4319.9799999999996</v>
      </c>
      <c r="R103">
        <v>3.72</v>
      </c>
      <c r="S103">
        <v>41.02</v>
      </c>
      <c r="T103">
        <v>0.31140000000000001</v>
      </c>
      <c r="U103">
        <v>0.80510000000000004</v>
      </c>
      <c r="V103">
        <v>5.4507000000000003</v>
      </c>
      <c r="W103">
        <v>0.747</v>
      </c>
      <c r="X103">
        <v>7.0699999999999999E-2</v>
      </c>
      <c r="Y103">
        <v>1.6395</v>
      </c>
      <c r="Z103">
        <v>86.4</v>
      </c>
      <c r="AA103" s="2">
        <v>0</v>
      </c>
      <c r="AB103">
        <v>83.4</v>
      </c>
      <c r="AC103" s="3">
        <v>0</v>
      </c>
    </row>
    <row r="104" spans="1:29" x14ac:dyDescent="0.3">
      <c r="A104" s="1">
        <f t="shared" si="1"/>
        <v>103</v>
      </c>
      <c r="B104">
        <v>2</v>
      </c>
      <c r="C104">
        <v>587</v>
      </c>
      <c r="D104">
        <v>219.5</v>
      </c>
      <c r="E104">
        <v>163.30000000000001</v>
      </c>
      <c r="F104">
        <v>145</v>
      </c>
      <c r="G104">
        <v>26</v>
      </c>
      <c r="H104">
        <v>54</v>
      </c>
      <c r="I104">
        <v>712</v>
      </c>
      <c r="J104">
        <v>23.95</v>
      </c>
      <c r="K104">
        <v>10.8</v>
      </c>
      <c r="L104">
        <v>0.2989</v>
      </c>
      <c r="M104">
        <v>5.7000000000000002E-3</v>
      </c>
      <c r="N104">
        <v>0.83850000000000002</v>
      </c>
      <c r="O104">
        <v>1.1234</v>
      </c>
      <c r="P104">
        <v>265.27999999999997</v>
      </c>
      <c r="Q104">
        <v>9745.5300000000007</v>
      </c>
      <c r="R104">
        <v>3.1</v>
      </c>
      <c r="S104">
        <v>83.5</v>
      </c>
      <c r="T104">
        <v>0.1938</v>
      </c>
      <c r="U104">
        <v>1.206</v>
      </c>
      <c r="V104">
        <v>9.7177000000000007</v>
      </c>
      <c r="W104">
        <v>0.85289999999999999</v>
      </c>
      <c r="X104">
        <v>0.1215</v>
      </c>
      <c r="Y104">
        <v>2.7389000000000001</v>
      </c>
      <c r="Z104">
        <v>84</v>
      </c>
      <c r="AA104" s="2">
        <v>0</v>
      </c>
      <c r="AB104">
        <v>82.2</v>
      </c>
      <c r="AC104" s="3">
        <v>0</v>
      </c>
    </row>
    <row r="105" spans="1:29" x14ac:dyDescent="0.3">
      <c r="A105" s="1">
        <f t="shared" si="1"/>
        <v>104</v>
      </c>
      <c r="B105">
        <v>2</v>
      </c>
      <c r="C105">
        <v>878.6</v>
      </c>
      <c r="D105">
        <v>283.8</v>
      </c>
      <c r="E105">
        <v>169.2</v>
      </c>
      <c r="F105">
        <v>155</v>
      </c>
      <c r="G105">
        <v>27</v>
      </c>
      <c r="H105">
        <v>57</v>
      </c>
      <c r="I105">
        <v>712</v>
      </c>
      <c r="J105">
        <v>20.190000000000001</v>
      </c>
      <c r="K105">
        <v>6.93</v>
      </c>
      <c r="L105">
        <v>0.34029999999999999</v>
      </c>
      <c r="M105">
        <v>8.9999999999999993E-3</v>
      </c>
      <c r="N105">
        <v>0.78500000000000003</v>
      </c>
      <c r="O105">
        <v>0.91159999999999997</v>
      </c>
      <c r="P105">
        <v>289.72000000000003</v>
      </c>
      <c r="Q105">
        <v>14394.14</v>
      </c>
      <c r="R105">
        <v>2.36</v>
      </c>
      <c r="S105">
        <v>88.32</v>
      </c>
      <c r="T105">
        <v>0.1537</v>
      </c>
      <c r="U105">
        <v>1.2521</v>
      </c>
      <c r="V105">
        <v>12.4788</v>
      </c>
      <c r="W105">
        <v>0.8841</v>
      </c>
      <c r="X105">
        <v>0.14580000000000001</v>
      </c>
      <c r="Y105">
        <v>3.4329000000000001</v>
      </c>
      <c r="Z105">
        <v>84.6</v>
      </c>
      <c r="AA105" s="2">
        <v>0</v>
      </c>
      <c r="AB105">
        <v>80.2</v>
      </c>
      <c r="AC105" s="3">
        <v>0</v>
      </c>
    </row>
    <row r="106" spans="1:29" x14ac:dyDescent="0.3">
      <c r="A106" s="1">
        <f t="shared" si="1"/>
        <v>105</v>
      </c>
      <c r="B106">
        <v>2</v>
      </c>
      <c r="C106">
        <v>700</v>
      </c>
      <c r="D106">
        <v>204.4</v>
      </c>
      <c r="E106">
        <v>109.5</v>
      </c>
      <c r="F106">
        <v>100</v>
      </c>
      <c r="G106">
        <v>23</v>
      </c>
      <c r="H106">
        <v>42</v>
      </c>
      <c r="I106">
        <v>712</v>
      </c>
      <c r="J106">
        <v>18.559999999999999</v>
      </c>
      <c r="K106">
        <v>7.87</v>
      </c>
      <c r="L106">
        <v>0.32969999999999999</v>
      </c>
      <c r="M106">
        <v>5.0000000000000001E-3</v>
      </c>
      <c r="N106">
        <v>0.66879999999999995</v>
      </c>
      <c r="O106">
        <v>1.2566999999999999</v>
      </c>
      <c r="P106">
        <v>308.41000000000003</v>
      </c>
      <c r="Q106">
        <v>10167.450000000001</v>
      </c>
      <c r="R106">
        <v>3.3</v>
      </c>
      <c r="S106">
        <v>86.69</v>
      </c>
      <c r="T106">
        <v>0.1986</v>
      </c>
      <c r="U106">
        <v>1.0423</v>
      </c>
      <c r="V106">
        <v>8.8518000000000008</v>
      </c>
      <c r="W106">
        <v>0.86009999999999998</v>
      </c>
      <c r="X106">
        <v>0.1474</v>
      </c>
      <c r="Y106">
        <v>2.0811999999999999</v>
      </c>
      <c r="Z106">
        <v>86.5</v>
      </c>
      <c r="AA106" s="2">
        <v>0</v>
      </c>
      <c r="AB106">
        <v>87.2</v>
      </c>
      <c r="AC106" s="3">
        <v>0</v>
      </c>
    </row>
    <row r="107" spans="1:29" x14ac:dyDescent="0.3">
      <c r="A107" s="1">
        <f t="shared" si="1"/>
        <v>106</v>
      </c>
      <c r="B107">
        <v>2</v>
      </c>
      <c r="C107">
        <v>465.2</v>
      </c>
      <c r="D107">
        <v>227.6</v>
      </c>
      <c r="E107">
        <v>182.2</v>
      </c>
      <c r="F107">
        <v>160</v>
      </c>
      <c r="G107">
        <v>26</v>
      </c>
      <c r="H107">
        <v>57</v>
      </c>
      <c r="I107">
        <v>712</v>
      </c>
      <c r="J107">
        <v>40.369999999999997</v>
      </c>
      <c r="K107">
        <v>21.3</v>
      </c>
      <c r="L107">
        <v>0.24929999999999999</v>
      </c>
      <c r="M107">
        <v>2.3999999999999998E-3</v>
      </c>
      <c r="N107">
        <v>0.91579999999999995</v>
      </c>
      <c r="O107">
        <v>0.96619999999999995</v>
      </c>
      <c r="P107">
        <v>206.29</v>
      </c>
      <c r="Q107">
        <v>6326.02</v>
      </c>
      <c r="R107">
        <v>2.97</v>
      </c>
      <c r="S107">
        <v>59.56</v>
      </c>
      <c r="T107">
        <v>0.24579999999999999</v>
      </c>
      <c r="U107">
        <v>1.0109999999999999</v>
      </c>
      <c r="V107">
        <v>8.9629999999999992</v>
      </c>
      <c r="W107">
        <v>0.78820000000000001</v>
      </c>
      <c r="X107">
        <v>9.9699999999999997E-2</v>
      </c>
      <c r="Y107">
        <v>2.94</v>
      </c>
      <c r="Z107">
        <v>88.8</v>
      </c>
      <c r="AA107" s="2">
        <v>0</v>
      </c>
      <c r="AB107">
        <v>82.6</v>
      </c>
      <c r="AC107" s="3">
        <v>0</v>
      </c>
    </row>
    <row r="108" spans="1:29" x14ac:dyDescent="0.3">
      <c r="A108" s="1">
        <f t="shared" si="1"/>
        <v>107</v>
      </c>
      <c r="B108">
        <v>2</v>
      </c>
      <c r="C108">
        <v>457.3</v>
      </c>
      <c r="D108">
        <v>204.9</v>
      </c>
      <c r="E108">
        <v>150.80000000000001</v>
      </c>
      <c r="F108">
        <v>145</v>
      </c>
      <c r="G108">
        <v>27</v>
      </c>
      <c r="H108">
        <v>55</v>
      </c>
      <c r="I108">
        <v>712</v>
      </c>
      <c r="J108">
        <v>39.659999999999997</v>
      </c>
      <c r="K108">
        <v>20.75</v>
      </c>
      <c r="L108">
        <v>0.23250000000000001</v>
      </c>
      <c r="M108">
        <v>2.7000000000000001E-3</v>
      </c>
      <c r="N108">
        <v>0.76290000000000002</v>
      </c>
      <c r="O108">
        <v>1.0430999999999999</v>
      </c>
      <c r="P108">
        <v>221.43</v>
      </c>
      <c r="Q108">
        <v>5972.93</v>
      </c>
      <c r="R108">
        <v>3.27</v>
      </c>
      <c r="S108">
        <v>74.08</v>
      </c>
      <c r="T108">
        <v>0.2732</v>
      </c>
      <c r="U108">
        <v>1.0308999999999999</v>
      </c>
      <c r="V108">
        <v>8.0905000000000005</v>
      </c>
      <c r="W108">
        <v>0.67910000000000004</v>
      </c>
      <c r="X108">
        <v>9.1200000000000003E-2</v>
      </c>
      <c r="Y108">
        <v>2.4037000000000002</v>
      </c>
      <c r="Z108">
        <v>88.5</v>
      </c>
      <c r="AA108" s="2">
        <v>0</v>
      </c>
      <c r="AB108">
        <v>94.3</v>
      </c>
      <c r="AC108" s="3">
        <v>1</v>
      </c>
    </row>
    <row r="109" spans="1:29" x14ac:dyDescent="0.3">
      <c r="A109" s="1">
        <f t="shared" si="1"/>
        <v>108</v>
      </c>
      <c r="B109">
        <v>2</v>
      </c>
      <c r="C109">
        <v>426.9</v>
      </c>
      <c r="D109">
        <v>157.1</v>
      </c>
      <c r="E109">
        <v>74.5</v>
      </c>
      <c r="F109">
        <v>70</v>
      </c>
      <c r="G109">
        <v>34</v>
      </c>
      <c r="H109">
        <v>47</v>
      </c>
      <c r="I109">
        <v>712</v>
      </c>
      <c r="J109">
        <v>23.64</v>
      </c>
      <c r="K109">
        <v>12.29</v>
      </c>
      <c r="L109">
        <v>0.24840000000000001</v>
      </c>
      <c r="M109">
        <v>1.6999999999999999E-3</v>
      </c>
      <c r="N109">
        <v>0.53310000000000002</v>
      </c>
      <c r="O109">
        <v>0.94669999999999999</v>
      </c>
      <c r="P109">
        <v>265.97000000000003</v>
      </c>
      <c r="Q109">
        <v>5553.79</v>
      </c>
      <c r="R109">
        <v>4.5</v>
      </c>
      <c r="S109">
        <v>2.21</v>
      </c>
      <c r="T109">
        <v>0.28149999999999997</v>
      </c>
      <c r="U109">
        <v>1.0378000000000001</v>
      </c>
      <c r="V109">
        <v>4.9941000000000004</v>
      </c>
      <c r="W109">
        <v>0.63100000000000001</v>
      </c>
      <c r="X109">
        <v>0.1142</v>
      </c>
      <c r="Y109">
        <v>1.2605999999999999</v>
      </c>
      <c r="Z109">
        <v>93</v>
      </c>
      <c r="AA109" s="2">
        <v>1</v>
      </c>
      <c r="AB109">
        <v>88.5</v>
      </c>
      <c r="AC109" s="3">
        <v>0</v>
      </c>
    </row>
    <row r="110" spans="1:29" x14ac:dyDescent="0.3">
      <c r="A110" s="1">
        <f t="shared" si="1"/>
        <v>109</v>
      </c>
      <c r="B110">
        <v>2</v>
      </c>
      <c r="C110">
        <v>542.70000000000005</v>
      </c>
      <c r="D110">
        <v>194</v>
      </c>
      <c r="E110">
        <v>114.1</v>
      </c>
      <c r="F110">
        <v>110</v>
      </c>
      <c r="G110">
        <v>22</v>
      </c>
      <c r="H110">
        <v>43</v>
      </c>
      <c r="I110">
        <v>712</v>
      </c>
      <c r="J110">
        <v>25.1</v>
      </c>
      <c r="K110">
        <v>10.87</v>
      </c>
      <c r="L110">
        <v>0.27189999999999998</v>
      </c>
      <c r="M110">
        <v>2.5000000000000001E-3</v>
      </c>
      <c r="N110">
        <v>0.74529999999999996</v>
      </c>
      <c r="O110">
        <v>1.2390000000000001</v>
      </c>
      <c r="P110">
        <v>272.27</v>
      </c>
      <c r="Q110">
        <v>8675.69</v>
      </c>
      <c r="R110">
        <v>3.48</v>
      </c>
      <c r="S110">
        <v>71.67</v>
      </c>
      <c r="T110">
        <v>0.23619999999999999</v>
      </c>
      <c r="U110">
        <v>1.0365</v>
      </c>
      <c r="V110">
        <v>7.3448000000000002</v>
      </c>
      <c r="W110">
        <v>0.82210000000000005</v>
      </c>
      <c r="X110">
        <v>0.1154</v>
      </c>
      <c r="Y110">
        <v>2.1758999999999999</v>
      </c>
      <c r="Z110">
        <v>88.8</v>
      </c>
      <c r="AA110" s="2">
        <v>0</v>
      </c>
      <c r="AB110">
        <v>91.1</v>
      </c>
      <c r="AC110" s="3">
        <v>1</v>
      </c>
    </row>
    <row r="111" spans="1:29" x14ac:dyDescent="0.3">
      <c r="A111" s="1">
        <f t="shared" si="1"/>
        <v>110</v>
      </c>
      <c r="B111">
        <v>2</v>
      </c>
      <c r="C111">
        <v>2132.5</v>
      </c>
      <c r="D111">
        <v>369.9</v>
      </c>
      <c r="E111">
        <v>187.2</v>
      </c>
      <c r="F111">
        <v>180</v>
      </c>
      <c r="G111">
        <v>23</v>
      </c>
      <c r="H111">
        <v>58</v>
      </c>
      <c r="I111">
        <v>890</v>
      </c>
      <c r="J111">
        <v>28.14</v>
      </c>
      <c r="K111">
        <v>16.010000000000002</v>
      </c>
      <c r="L111">
        <v>0.24279999999999999</v>
      </c>
      <c r="M111">
        <v>1E-3</v>
      </c>
      <c r="N111">
        <v>0.5675</v>
      </c>
      <c r="O111">
        <v>1.2084999999999999</v>
      </c>
      <c r="P111">
        <v>427.96</v>
      </c>
      <c r="Q111">
        <v>12191.85</v>
      </c>
      <c r="R111">
        <v>1.98</v>
      </c>
      <c r="S111">
        <v>88.24</v>
      </c>
      <c r="T111">
        <v>0.21909999999999999</v>
      </c>
      <c r="U111">
        <v>1.1890000000000001</v>
      </c>
      <c r="V111">
        <v>8.3571000000000009</v>
      </c>
      <c r="W111">
        <v>0.87609999999999999</v>
      </c>
      <c r="X111">
        <v>9.5699999999999993E-2</v>
      </c>
      <c r="Y111">
        <v>3.1261000000000001</v>
      </c>
      <c r="Z111">
        <v>91.5</v>
      </c>
      <c r="AA111" s="2">
        <v>1</v>
      </c>
      <c r="AB111">
        <v>90.5</v>
      </c>
      <c r="AC111" s="3">
        <v>1</v>
      </c>
    </row>
    <row r="112" spans="1:29" x14ac:dyDescent="0.3">
      <c r="A112" s="1">
        <f t="shared" si="1"/>
        <v>111</v>
      </c>
      <c r="B112">
        <v>2</v>
      </c>
      <c r="C112">
        <v>497.8</v>
      </c>
      <c r="D112">
        <v>209.8</v>
      </c>
      <c r="E112">
        <v>126</v>
      </c>
      <c r="F112">
        <v>105</v>
      </c>
      <c r="G112">
        <v>33</v>
      </c>
      <c r="H112">
        <v>53</v>
      </c>
      <c r="I112">
        <v>712</v>
      </c>
      <c r="J112">
        <v>25.89</v>
      </c>
      <c r="K112">
        <v>10.48</v>
      </c>
      <c r="L112">
        <v>0.27650000000000002</v>
      </c>
      <c r="M112">
        <v>1.1000000000000001E-3</v>
      </c>
      <c r="N112">
        <v>0.63060000000000005</v>
      </c>
      <c r="O112">
        <v>1.1976</v>
      </c>
      <c r="P112">
        <v>238.14</v>
      </c>
      <c r="Q112">
        <v>9817.8799999999992</v>
      </c>
      <c r="R112">
        <v>3.29</v>
      </c>
      <c r="S112">
        <v>79.739999999999995</v>
      </c>
      <c r="T112">
        <v>0.24329999999999999</v>
      </c>
      <c r="U112">
        <v>0.94750000000000001</v>
      </c>
      <c r="V112">
        <v>7.5975999999999999</v>
      </c>
      <c r="W112">
        <v>0.79339999999999999</v>
      </c>
      <c r="X112">
        <v>0.1244</v>
      </c>
      <c r="Y112">
        <v>1.9025000000000001</v>
      </c>
      <c r="Z112">
        <v>89.9</v>
      </c>
      <c r="AA112" s="2">
        <v>0</v>
      </c>
      <c r="AB112">
        <v>96.4</v>
      </c>
      <c r="AC112" s="3">
        <v>1</v>
      </c>
    </row>
    <row r="113" spans="1:29" x14ac:dyDescent="0.3">
      <c r="A113" s="1">
        <f t="shared" si="1"/>
        <v>112</v>
      </c>
      <c r="B113">
        <v>2</v>
      </c>
      <c r="C113">
        <v>678.3</v>
      </c>
      <c r="D113">
        <v>219.8</v>
      </c>
      <c r="E113">
        <v>99.6</v>
      </c>
      <c r="F113">
        <v>115</v>
      </c>
      <c r="G113">
        <v>22</v>
      </c>
      <c r="H113">
        <v>44</v>
      </c>
      <c r="I113">
        <v>712</v>
      </c>
      <c r="J113">
        <v>17.690000000000001</v>
      </c>
      <c r="K113">
        <v>7.09</v>
      </c>
      <c r="L113">
        <v>0.32900000000000001</v>
      </c>
      <c r="M113">
        <v>4.4000000000000003E-3</v>
      </c>
      <c r="N113">
        <v>0.54079999999999995</v>
      </c>
      <c r="O113">
        <v>1.2649999999999999</v>
      </c>
      <c r="P113">
        <v>309</v>
      </c>
      <c r="Q113">
        <v>11530.06</v>
      </c>
      <c r="R113">
        <v>2.89</v>
      </c>
      <c r="S113">
        <v>97.25</v>
      </c>
      <c r="T113">
        <v>0.1986</v>
      </c>
      <c r="U113">
        <v>1.0277000000000001</v>
      </c>
      <c r="V113">
        <v>9.8544</v>
      </c>
      <c r="W113">
        <v>0.85850000000000004</v>
      </c>
      <c r="X113">
        <v>0.1449</v>
      </c>
      <c r="Y113">
        <v>2.0367999999999999</v>
      </c>
      <c r="Z113">
        <v>87.2</v>
      </c>
      <c r="AA113" s="2">
        <v>0</v>
      </c>
      <c r="AB113">
        <v>78.2</v>
      </c>
      <c r="AC113" s="3">
        <v>0</v>
      </c>
    </row>
    <row r="114" spans="1:29" x14ac:dyDescent="0.3">
      <c r="A114" s="1">
        <f t="shared" si="1"/>
        <v>113</v>
      </c>
      <c r="B114">
        <v>2</v>
      </c>
      <c r="C114">
        <v>684.1</v>
      </c>
      <c r="D114">
        <v>266.89999999999998</v>
      </c>
      <c r="E114">
        <v>127</v>
      </c>
      <c r="F114">
        <v>130</v>
      </c>
      <c r="G114">
        <v>28</v>
      </c>
      <c r="H114">
        <v>53</v>
      </c>
      <c r="I114">
        <v>1066</v>
      </c>
      <c r="J114">
        <v>30.94</v>
      </c>
      <c r="K114">
        <v>14.54</v>
      </c>
      <c r="L114">
        <v>0.23669999999999999</v>
      </c>
      <c r="M114">
        <v>3.3E-3</v>
      </c>
      <c r="N114">
        <v>0.69299999999999995</v>
      </c>
      <c r="O114">
        <v>1.1432</v>
      </c>
      <c r="P114">
        <v>302.63</v>
      </c>
      <c r="Q114">
        <v>7444.92</v>
      </c>
      <c r="R114">
        <v>3.6</v>
      </c>
      <c r="S114">
        <v>42.44</v>
      </c>
      <c r="T114">
        <v>0.245</v>
      </c>
      <c r="U114">
        <v>0.95950000000000002</v>
      </c>
      <c r="V114">
        <v>6.6574999999999998</v>
      </c>
      <c r="W114">
        <v>0.75549999999999995</v>
      </c>
      <c r="X114">
        <v>9.8000000000000004E-2</v>
      </c>
      <c r="Y114">
        <v>1.8405</v>
      </c>
      <c r="Z114">
        <v>90.7</v>
      </c>
      <c r="AA114" s="2">
        <v>1</v>
      </c>
      <c r="AB114">
        <v>90.4</v>
      </c>
      <c r="AC114" s="3">
        <v>1</v>
      </c>
    </row>
    <row r="115" spans="1:29" x14ac:dyDescent="0.3">
      <c r="A115" s="1">
        <f t="shared" si="1"/>
        <v>114</v>
      </c>
      <c r="B115">
        <v>2</v>
      </c>
      <c r="C115">
        <v>525.20000000000005</v>
      </c>
      <c r="D115">
        <v>190.9</v>
      </c>
      <c r="E115">
        <v>138.4</v>
      </c>
      <c r="F115">
        <v>120</v>
      </c>
      <c r="G115">
        <v>31</v>
      </c>
      <c r="H115">
        <v>55</v>
      </c>
      <c r="I115">
        <v>712</v>
      </c>
      <c r="J115">
        <v>28.05</v>
      </c>
      <c r="K115">
        <v>13.08</v>
      </c>
      <c r="L115">
        <v>0.27389999999999998</v>
      </c>
      <c r="M115">
        <v>5.8999999999999999E-3</v>
      </c>
      <c r="N115">
        <v>0.79569999999999996</v>
      </c>
      <c r="O115">
        <v>1.2807999999999999</v>
      </c>
      <c r="P115">
        <v>292.77999999999997</v>
      </c>
      <c r="Q115">
        <v>8134.12</v>
      </c>
      <c r="R115">
        <v>3.47</v>
      </c>
      <c r="S115">
        <v>53.17</v>
      </c>
      <c r="T115">
        <v>0.22070000000000001</v>
      </c>
      <c r="U115">
        <v>1.0262</v>
      </c>
      <c r="V115">
        <v>7.8487</v>
      </c>
      <c r="W115">
        <v>0.79400000000000004</v>
      </c>
      <c r="X115">
        <v>0.11509999999999999</v>
      </c>
      <c r="Y115">
        <v>2.3043</v>
      </c>
      <c r="Z115">
        <v>88.6</v>
      </c>
      <c r="AA115" s="2">
        <v>0</v>
      </c>
      <c r="AB115">
        <v>91.5</v>
      </c>
      <c r="AC115" s="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Northwestern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DeFillippo, Greg</dc:creator>
  <cp:lastModifiedBy>Troy</cp:lastModifiedBy>
  <dcterms:created xsi:type="dcterms:W3CDTF">2023-04-07T21:38:52Z</dcterms:created>
  <dcterms:modified xsi:type="dcterms:W3CDTF">2025-11-08T22:17:16Z</dcterms:modified>
</cp:coreProperties>
</file>