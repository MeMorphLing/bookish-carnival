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ropbox\Troy\2020 NW\projects\3_proj_plan metric\complexity_code\3 zz_regression\"/>
    </mc:Choice>
  </mc:AlternateContent>
  <xr:revisionPtr revIDLastSave="0" documentId="13_ncr:1_{6CF100DC-A176-4437-A3E8-AADA3971C502}" xr6:coauthVersionLast="47" xr6:coauthVersionMax="47" xr10:uidLastSave="{00000000-0000-0000-0000-000000000000}"/>
  <bookViews>
    <workbookView xWindow="-108" yWindow="-108" windowWidth="23256" windowHeight="12456" xr2:uid="{8C4BC324-706A-49EE-820C-465FC7DDC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3" i="1" l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</calcChain>
</file>

<file path=xl/sharedStrings.xml><?xml version="1.0" encoding="utf-8"?>
<sst xmlns="http://schemas.openxmlformats.org/spreadsheetml/2006/main" count="29" uniqueCount="29">
  <si>
    <t xml:space="preserve"> MachineName</t>
  </si>
  <si>
    <t xml:space="preserve"> MU</t>
  </si>
  <si>
    <t xml:space="preserve"> beam-on time</t>
  </si>
  <si>
    <t xml:space="preserve"> FX</t>
  </si>
  <si>
    <t xml:space="preserve"> FY</t>
  </si>
  <si>
    <t xml:space="preserve"> lowerleaf</t>
  </si>
  <si>
    <t xml:space="preserve"> upperleaf</t>
  </si>
  <si>
    <t xml:space="preserve"> Arclength</t>
  </si>
  <si>
    <t xml:space="preserve"> meanMLCgap</t>
  </si>
  <si>
    <t xml:space="preserve"> Q1Gap</t>
  </si>
  <si>
    <t xml:space="preserve"> meanTGi</t>
  </si>
  <si>
    <t xml:space="preserve"> interdigitate</t>
  </si>
  <si>
    <t xml:space="preserve"> meanMLCSpeed</t>
  </si>
  <si>
    <t xml:space="preserve"> MLCSpeedModulation</t>
  </si>
  <si>
    <t xml:space="preserve"> meanRR</t>
  </si>
  <si>
    <t xml:space="preserve"> RRmodulation</t>
  </si>
  <si>
    <t xml:space="preserve"> meanGS</t>
  </si>
  <si>
    <t xml:space="preserve"> GSmodulation</t>
  </si>
  <si>
    <t xml:space="preserve"> MCS</t>
  </si>
  <si>
    <t xml:space="preserve"> MITotal</t>
  </si>
  <si>
    <t xml:space="preserve"> PI</t>
  </si>
  <si>
    <t xml:space="preserve"> PM</t>
  </si>
  <si>
    <t xml:space="preserve"> EdgeMetric</t>
  </si>
  <si>
    <t xml:space="preserve"> LT/AL</t>
  </si>
  <si>
    <t>PID</t>
  </si>
  <si>
    <t>outcome_predict1(2p-2mm)</t>
  </si>
  <si>
    <t>outcome_predict1(2p-2mm_bin)</t>
  </si>
  <si>
    <t>outcome_predict2(T218)</t>
  </si>
  <si>
    <t>outcome_predict2(T218_90%_bin)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</si>
</sst>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EE62-8462-4786-826F-40CB8EFC1760}">
  <dimension ref="A1:AC113"/>
  <sheetViews>
    <sheetView tabSelected="1" workbookViewId="0">
      <selection activeCell="Z1" sqref="Z1:AC1"/>
    </sheetView>
  </sheetViews>
  <sheetFormatPr defaultRowHeight="14.4" x14ac:dyDescent="0.3"/>
  <cols>
    <col min="1" max="1" width="12.88671875" style="1" bestFit="1" customWidth="1"/>
    <col min="27" max="27" width="8.88671875" style="2"/>
    <col min="29" max="29" width="8.88671875" style="3"/>
  </cols>
  <sheetData>
    <row r="1" spans="1:29" x14ac:dyDescent="0.3">
      <c r="A1" s="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1</v>
      </c>
      <c r="B2">
        <v>3</v>
      </c>
      <c r="C2">
        <v>366.4</v>
      </c>
      <c r="D2">
        <v>84.2</v>
      </c>
      <c r="E2">
        <v>94.3</v>
      </c>
      <c r="F2">
        <v>75</v>
      </c>
      <c r="G2">
        <v>17</v>
      </c>
      <c r="H2">
        <v>24</v>
      </c>
      <c r="I2">
        <v>344</v>
      </c>
      <c r="J2">
        <v>28.86</v>
      </c>
      <c r="K2">
        <v>18.809999999999999</v>
      </c>
      <c r="L2">
        <v>0.20030000000000001</v>
      </c>
      <c r="M2">
        <v>0</v>
      </c>
      <c r="N2">
        <v>0.43769999999999998</v>
      </c>
      <c r="O2">
        <v>0.94099999999999995</v>
      </c>
      <c r="P2">
        <v>350.81</v>
      </c>
      <c r="Q2">
        <v>6655.38</v>
      </c>
      <c r="R2">
        <v>3.73</v>
      </c>
      <c r="S2">
        <v>19.260000000000002</v>
      </c>
      <c r="T2">
        <v>0.30580000000000002</v>
      </c>
      <c r="U2">
        <v>1.0464</v>
      </c>
      <c r="V2">
        <v>2.9407000000000001</v>
      </c>
      <c r="W2">
        <v>0.67400000000000004</v>
      </c>
      <c r="X2">
        <v>5.8000000000000003E-2</v>
      </c>
      <c r="Y2">
        <v>1.1818</v>
      </c>
      <c r="Z2">
        <v>94.5</v>
      </c>
      <c r="AA2" s="2">
        <f>IF(Z2&gt;=90,1,0)</f>
        <v>1</v>
      </c>
      <c r="AB2">
        <v>96.3</v>
      </c>
      <c r="AC2" s="3">
        <v>1</v>
      </c>
    </row>
    <row r="3" spans="1:29" x14ac:dyDescent="0.3">
      <c r="A3" s="1">
        <f>A2+1</f>
        <v>2</v>
      </c>
      <c r="B3">
        <v>2</v>
      </c>
      <c r="C3">
        <v>911.8</v>
      </c>
      <c r="D3">
        <v>189.8</v>
      </c>
      <c r="E3">
        <v>147.69999999999999</v>
      </c>
      <c r="F3">
        <v>95</v>
      </c>
      <c r="G3">
        <v>39</v>
      </c>
      <c r="H3">
        <v>57</v>
      </c>
      <c r="I3">
        <v>714</v>
      </c>
      <c r="J3">
        <v>19.649999999999999</v>
      </c>
      <c r="K3">
        <v>9.59</v>
      </c>
      <c r="L3">
        <v>0.30869999999999997</v>
      </c>
      <c r="M3">
        <v>1.01E-2</v>
      </c>
      <c r="N3">
        <v>0.42249999999999999</v>
      </c>
      <c r="O3">
        <v>0.87719999999999998</v>
      </c>
      <c r="P3">
        <v>405.78</v>
      </c>
      <c r="Q3">
        <v>11873.78</v>
      </c>
      <c r="R3">
        <v>3.31</v>
      </c>
      <c r="S3">
        <v>48.98</v>
      </c>
      <c r="T3">
        <v>0.17649999999999999</v>
      </c>
      <c r="U3">
        <v>1.2704</v>
      </c>
      <c r="V3">
        <v>7.5933999999999999</v>
      </c>
      <c r="W3">
        <v>0.85529999999999995</v>
      </c>
      <c r="X3">
        <v>0.1346</v>
      </c>
      <c r="Y3">
        <v>1.4115</v>
      </c>
      <c r="Z3">
        <v>92.6</v>
      </c>
      <c r="AA3" s="2">
        <f t="shared" ref="AA3:AA66" si="0">IF(Z3&gt;=90,1,0)</f>
        <v>1</v>
      </c>
      <c r="AB3">
        <v>89.6</v>
      </c>
      <c r="AC3" s="3">
        <v>0</v>
      </c>
    </row>
    <row r="4" spans="1:29" x14ac:dyDescent="0.3">
      <c r="A4" s="1">
        <f t="shared" ref="A4:A67" si="1">A3+1</f>
        <v>3</v>
      </c>
      <c r="B4">
        <v>1</v>
      </c>
      <c r="C4">
        <v>839.4</v>
      </c>
      <c r="D4">
        <v>171.2</v>
      </c>
      <c r="E4">
        <v>215.7</v>
      </c>
      <c r="F4">
        <v>220</v>
      </c>
      <c r="G4">
        <v>21</v>
      </c>
      <c r="H4">
        <v>64</v>
      </c>
      <c r="I4">
        <v>712</v>
      </c>
      <c r="J4">
        <v>27.14</v>
      </c>
      <c r="K4">
        <v>10.35</v>
      </c>
      <c r="L4">
        <v>0.29260000000000003</v>
      </c>
      <c r="M4">
        <v>7.3000000000000001E-3</v>
      </c>
      <c r="N4">
        <v>0.76290000000000002</v>
      </c>
      <c r="O4">
        <v>0.67010000000000003</v>
      </c>
      <c r="P4">
        <v>360.01</v>
      </c>
      <c r="Q4">
        <v>8790.02</v>
      </c>
      <c r="R4">
        <v>3.94</v>
      </c>
      <c r="S4">
        <v>25.23</v>
      </c>
      <c r="T4">
        <v>0.17480000000000001</v>
      </c>
      <c r="U4">
        <v>1.5936999999999999</v>
      </c>
      <c r="V4">
        <v>15.615500000000001</v>
      </c>
      <c r="W4">
        <v>0.85119999999999996</v>
      </c>
      <c r="X4">
        <v>0.1118</v>
      </c>
      <c r="Y4">
        <v>1.9654</v>
      </c>
      <c r="Z4">
        <v>95</v>
      </c>
      <c r="AA4" s="2">
        <f t="shared" si="0"/>
        <v>1</v>
      </c>
      <c r="AB4">
        <v>93.9</v>
      </c>
      <c r="AC4" s="3">
        <v>1</v>
      </c>
    </row>
    <row r="5" spans="1:29" x14ac:dyDescent="0.3">
      <c r="A5" s="1">
        <f t="shared" si="1"/>
        <v>4</v>
      </c>
      <c r="B5">
        <v>1</v>
      </c>
      <c r="C5">
        <v>729.3</v>
      </c>
      <c r="D5">
        <v>166.7</v>
      </c>
      <c r="E5">
        <v>225.1</v>
      </c>
      <c r="F5">
        <v>265</v>
      </c>
      <c r="G5">
        <v>14</v>
      </c>
      <c r="H5">
        <v>66</v>
      </c>
      <c r="I5">
        <v>714</v>
      </c>
      <c r="J5">
        <v>24.27</v>
      </c>
      <c r="K5">
        <v>7.38</v>
      </c>
      <c r="L5">
        <v>0.2999</v>
      </c>
      <c r="M5">
        <v>6.3E-3</v>
      </c>
      <c r="N5">
        <v>0.81200000000000006</v>
      </c>
      <c r="O5">
        <v>0.70409999999999995</v>
      </c>
      <c r="P5">
        <v>302.62</v>
      </c>
      <c r="Q5">
        <v>5832.31</v>
      </c>
      <c r="R5">
        <v>4.21</v>
      </c>
      <c r="S5">
        <v>22.77</v>
      </c>
      <c r="T5">
        <v>0.14649999999999999</v>
      </c>
      <c r="U5">
        <v>1.4350000000000001</v>
      </c>
      <c r="V5">
        <v>16.0853</v>
      </c>
      <c r="W5">
        <v>0.86609999999999998</v>
      </c>
      <c r="X5">
        <v>0.1076</v>
      </c>
      <c r="Y5">
        <v>1.9457</v>
      </c>
      <c r="Z5">
        <v>96.2</v>
      </c>
      <c r="AA5" s="2">
        <f t="shared" si="0"/>
        <v>1</v>
      </c>
      <c r="AB5">
        <v>97.6</v>
      </c>
      <c r="AC5" s="3">
        <v>1</v>
      </c>
    </row>
    <row r="6" spans="1:29" x14ac:dyDescent="0.3">
      <c r="A6" s="1">
        <f t="shared" si="1"/>
        <v>5</v>
      </c>
      <c r="B6">
        <v>2</v>
      </c>
      <c r="C6">
        <v>650.79999999999995</v>
      </c>
      <c r="D6">
        <v>112.8</v>
      </c>
      <c r="E6">
        <v>93.8</v>
      </c>
      <c r="F6">
        <v>125</v>
      </c>
      <c r="G6">
        <v>24</v>
      </c>
      <c r="H6">
        <v>48</v>
      </c>
      <c r="I6">
        <v>358</v>
      </c>
      <c r="J6">
        <v>19.09</v>
      </c>
      <c r="K6">
        <v>9.23</v>
      </c>
      <c r="L6">
        <v>0.25619999999999998</v>
      </c>
      <c r="M6">
        <v>5.1000000000000004E-3</v>
      </c>
      <c r="N6">
        <v>0.39810000000000001</v>
      </c>
      <c r="O6">
        <v>0.88790000000000002</v>
      </c>
      <c r="P6">
        <v>414.31</v>
      </c>
      <c r="Q6">
        <v>10717</v>
      </c>
      <c r="R6">
        <v>2.72</v>
      </c>
      <c r="S6">
        <v>75.430000000000007</v>
      </c>
      <c r="T6">
        <v>0.2359</v>
      </c>
      <c r="U6">
        <v>1.4072</v>
      </c>
      <c r="V6">
        <v>9.0029000000000003</v>
      </c>
      <c r="W6">
        <v>0.77459999999999996</v>
      </c>
      <c r="X6">
        <v>0.1174</v>
      </c>
      <c r="Y6">
        <v>1.5229999999999999</v>
      </c>
      <c r="Z6">
        <v>90</v>
      </c>
      <c r="AA6" s="2">
        <f t="shared" si="0"/>
        <v>1</v>
      </c>
      <c r="AB6">
        <v>93</v>
      </c>
      <c r="AC6" s="3">
        <v>1</v>
      </c>
    </row>
    <row r="7" spans="1:29" x14ac:dyDescent="0.3">
      <c r="A7" s="1">
        <f t="shared" si="1"/>
        <v>6</v>
      </c>
      <c r="B7">
        <v>1</v>
      </c>
      <c r="C7">
        <v>619.79999999999995</v>
      </c>
      <c r="D7">
        <v>205.9</v>
      </c>
      <c r="E7">
        <v>224</v>
      </c>
      <c r="F7">
        <v>175</v>
      </c>
      <c r="G7">
        <v>24</v>
      </c>
      <c r="H7">
        <v>58</v>
      </c>
      <c r="I7">
        <v>716</v>
      </c>
      <c r="J7">
        <v>42.97</v>
      </c>
      <c r="K7">
        <v>21.18</v>
      </c>
      <c r="L7">
        <v>0.23719999999999999</v>
      </c>
      <c r="M7">
        <v>3.0000000000000001E-3</v>
      </c>
      <c r="N7">
        <v>1.1509</v>
      </c>
      <c r="O7">
        <v>0.73640000000000005</v>
      </c>
      <c r="P7">
        <v>277.33999999999997</v>
      </c>
      <c r="Q7">
        <v>6640</v>
      </c>
      <c r="R7">
        <v>3.38</v>
      </c>
      <c r="S7">
        <v>9.2100000000000009</v>
      </c>
      <c r="T7">
        <v>0.24260000000000001</v>
      </c>
      <c r="U7">
        <v>1.2314000000000001</v>
      </c>
      <c r="V7">
        <v>9.9116999999999997</v>
      </c>
      <c r="W7">
        <v>0.79269999999999996</v>
      </c>
      <c r="X7">
        <v>8.8599999999999998E-2</v>
      </c>
      <c r="Y7">
        <v>3.8119000000000001</v>
      </c>
      <c r="Z7">
        <v>96</v>
      </c>
      <c r="AA7" s="2">
        <f t="shared" si="0"/>
        <v>1</v>
      </c>
      <c r="AB7">
        <v>97.1</v>
      </c>
      <c r="AC7" s="3">
        <v>1</v>
      </c>
    </row>
    <row r="8" spans="1:29" x14ac:dyDescent="0.3">
      <c r="A8" s="1">
        <f t="shared" si="1"/>
        <v>7</v>
      </c>
      <c r="B8">
        <v>2</v>
      </c>
      <c r="C8">
        <v>392.4</v>
      </c>
      <c r="D8">
        <v>103.3</v>
      </c>
      <c r="E8">
        <v>148.69999999999999</v>
      </c>
      <c r="F8">
        <v>150</v>
      </c>
      <c r="G8">
        <v>25</v>
      </c>
      <c r="H8">
        <v>54</v>
      </c>
      <c r="I8">
        <v>426</v>
      </c>
      <c r="J8">
        <v>24.41</v>
      </c>
      <c r="K8">
        <v>11.53</v>
      </c>
      <c r="L8">
        <v>0.25090000000000001</v>
      </c>
      <c r="M8">
        <v>1.8E-3</v>
      </c>
      <c r="N8">
        <v>0.41649999999999998</v>
      </c>
      <c r="O8">
        <v>0.76839999999999997</v>
      </c>
      <c r="P8">
        <v>362.68</v>
      </c>
      <c r="Q8">
        <v>17963.41</v>
      </c>
      <c r="R8">
        <v>3.69</v>
      </c>
      <c r="S8">
        <v>45.98</v>
      </c>
      <c r="T8">
        <v>0.18279999999999999</v>
      </c>
      <c r="U8">
        <v>1.3811</v>
      </c>
      <c r="V8">
        <v>6.0397999999999996</v>
      </c>
      <c r="W8">
        <v>0.89029999999999998</v>
      </c>
      <c r="X8">
        <v>0.1024</v>
      </c>
      <c r="Y8">
        <v>1.1394</v>
      </c>
      <c r="Z8">
        <v>90.9</v>
      </c>
      <c r="AA8" s="2">
        <f t="shared" si="0"/>
        <v>1</v>
      </c>
      <c r="AB8">
        <v>92.8</v>
      </c>
      <c r="AC8" s="3">
        <v>1</v>
      </c>
    </row>
    <row r="9" spans="1:29" x14ac:dyDescent="0.3">
      <c r="A9" s="1">
        <f t="shared" si="1"/>
        <v>8</v>
      </c>
      <c r="B9">
        <v>2</v>
      </c>
      <c r="C9">
        <v>448.1</v>
      </c>
      <c r="D9">
        <v>106.5</v>
      </c>
      <c r="E9">
        <v>206.9</v>
      </c>
      <c r="F9">
        <v>210</v>
      </c>
      <c r="G9">
        <v>18</v>
      </c>
      <c r="H9">
        <v>59</v>
      </c>
      <c r="I9">
        <v>426</v>
      </c>
      <c r="J9">
        <v>26.25</v>
      </c>
      <c r="K9">
        <v>12.08</v>
      </c>
      <c r="L9">
        <v>0.27250000000000002</v>
      </c>
      <c r="M9">
        <v>6.3E-3</v>
      </c>
      <c r="N9">
        <v>0.54620000000000002</v>
      </c>
      <c r="O9">
        <v>0.90459999999999996</v>
      </c>
      <c r="P9">
        <v>356.83</v>
      </c>
      <c r="Q9">
        <v>11527.33</v>
      </c>
      <c r="R9">
        <v>3.55</v>
      </c>
      <c r="S9">
        <v>24.52</v>
      </c>
      <c r="T9">
        <v>0.15440000000000001</v>
      </c>
      <c r="U9">
        <v>1.222</v>
      </c>
      <c r="V9">
        <v>10.0002</v>
      </c>
      <c r="W9">
        <v>0.88739999999999997</v>
      </c>
      <c r="X9">
        <v>0.1079</v>
      </c>
      <c r="Y9">
        <v>1.5358000000000001</v>
      </c>
      <c r="Z9">
        <v>89.6</v>
      </c>
      <c r="AA9" s="2">
        <f t="shared" si="0"/>
        <v>0</v>
      </c>
      <c r="AB9">
        <v>86.3</v>
      </c>
      <c r="AC9" s="3">
        <v>0</v>
      </c>
    </row>
    <row r="10" spans="1:29" x14ac:dyDescent="0.3">
      <c r="A10" s="1">
        <f t="shared" si="1"/>
        <v>9</v>
      </c>
      <c r="B10">
        <v>1</v>
      </c>
      <c r="C10">
        <v>948.6</v>
      </c>
      <c r="D10">
        <v>188.3</v>
      </c>
      <c r="E10">
        <v>205.5</v>
      </c>
      <c r="F10">
        <v>230</v>
      </c>
      <c r="G10">
        <v>18</v>
      </c>
      <c r="H10">
        <v>63</v>
      </c>
      <c r="I10">
        <v>714</v>
      </c>
      <c r="J10">
        <v>22.67</v>
      </c>
      <c r="K10">
        <v>8.7799999999999994</v>
      </c>
      <c r="L10">
        <v>0.2908</v>
      </c>
      <c r="M10">
        <v>6.0000000000000001E-3</v>
      </c>
      <c r="N10">
        <v>0.63129999999999997</v>
      </c>
      <c r="O10">
        <v>0.70540000000000003</v>
      </c>
      <c r="P10">
        <v>371.62</v>
      </c>
      <c r="Q10">
        <v>9323.7800000000007</v>
      </c>
      <c r="R10">
        <v>3.45</v>
      </c>
      <c r="S10">
        <v>45.34</v>
      </c>
      <c r="T10">
        <v>0.17419999999999999</v>
      </c>
      <c r="U10">
        <v>1.5840000000000001</v>
      </c>
      <c r="V10">
        <v>17.1496</v>
      </c>
      <c r="W10">
        <v>0.86699999999999999</v>
      </c>
      <c r="X10">
        <v>0.1193</v>
      </c>
      <c r="Y10">
        <v>1.9222999999999999</v>
      </c>
      <c r="Z10">
        <v>95.6</v>
      </c>
      <c r="AA10" s="2">
        <f t="shared" si="0"/>
        <v>1</v>
      </c>
      <c r="AB10">
        <v>96.9</v>
      </c>
      <c r="AC10" s="3">
        <v>1</v>
      </c>
    </row>
    <row r="11" spans="1:29" x14ac:dyDescent="0.3">
      <c r="A11" s="1">
        <f t="shared" si="1"/>
        <v>10</v>
      </c>
      <c r="B11">
        <v>2</v>
      </c>
      <c r="C11">
        <v>766.1</v>
      </c>
      <c r="D11">
        <v>189.8</v>
      </c>
      <c r="E11">
        <v>241.8</v>
      </c>
      <c r="F11">
        <v>245</v>
      </c>
      <c r="G11">
        <v>15</v>
      </c>
      <c r="H11">
        <v>63</v>
      </c>
      <c r="I11">
        <v>716</v>
      </c>
      <c r="J11">
        <v>23.3</v>
      </c>
      <c r="K11">
        <v>8.3800000000000008</v>
      </c>
      <c r="L11">
        <v>0.31330000000000002</v>
      </c>
      <c r="M11">
        <v>4.4000000000000003E-3</v>
      </c>
      <c r="N11">
        <v>0.95779999999999998</v>
      </c>
      <c r="O11">
        <v>0.96389999999999998</v>
      </c>
      <c r="P11">
        <v>344.2</v>
      </c>
      <c r="Q11">
        <v>10138.75</v>
      </c>
      <c r="R11">
        <v>3.53</v>
      </c>
      <c r="S11">
        <v>30.7</v>
      </c>
      <c r="T11">
        <v>0.14230000000000001</v>
      </c>
      <c r="U11">
        <v>1.2359</v>
      </c>
      <c r="V11">
        <v>16.5106</v>
      </c>
      <c r="W11">
        <v>0.90069999999999995</v>
      </c>
      <c r="X11">
        <v>0.1249</v>
      </c>
      <c r="Y11">
        <v>2.8342000000000001</v>
      </c>
      <c r="Z11">
        <v>89.9</v>
      </c>
      <c r="AA11" s="2">
        <f t="shared" si="0"/>
        <v>0</v>
      </c>
      <c r="AB11">
        <v>89.9</v>
      </c>
      <c r="AC11" s="3">
        <v>0</v>
      </c>
    </row>
    <row r="12" spans="1:29" x14ac:dyDescent="0.3">
      <c r="A12" s="1">
        <f t="shared" si="1"/>
        <v>11</v>
      </c>
      <c r="B12">
        <v>1</v>
      </c>
      <c r="C12">
        <v>678.8</v>
      </c>
      <c r="D12">
        <v>168.4</v>
      </c>
      <c r="E12">
        <v>166.2</v>
      </c>
      <c r="F12">
        <v>185</v>
      </c>
      <c r="G12">
        <v>26</v>
      </c>
      <c r="H12">
        <v>62</v>
      </c>
      <c r="I12">
        <v>714</v>
      </c>
      <c r="J12">
        <v>20.5</v>
      </c>
      <c r="K12">
        <v>7.49</v>
      </c>
      <c r="L12">
        <v>0.31390000000000001</v>
      </c>
      <c r="M12">
        <v>7.1999999999999998E-3</v>
      </c>
      <c r="N12">
        <v>0.64449999999999996</v>
      </c>
      <c r="O12">
        <v>0.81310000000000004</v>
      </c>
      <c r="P12">
        <v>323.14999999999998</v>
      </c>
      <c r="Q12">
        <v>7851.56</v>
      </c>
      <c r="R12">
        <v>4.04</v>
      </c>
      <c r="S12">
        <v>26.4</v>
      </c>
      <c r="T12">
        <v>0.16550000000000001</v>
      </c>
      <c r="U12">
        <v>1.3331999999999999</v>
      </c>
      <c r="V12">
        <v>13.2873</v>
      </c>
      <c r="W12">
        <v>0.88129999999999997</v>
      </c>
      <c r="X12">
        <v>0.1232</v>
      </c>
      <c r="Y12">
        <v>1.6425000000000001</v>
      </c>
      <c r="Z12">
        <v>90</v>
      </c>
      <c r="AA12" s="2">
        <f t="shared" si="0"/>
        <v>1</v>
      </c>
      <c r="AB12">
        <v>84.1</v>
      </c>
      <c r="AC12" s="3">
        <v>0</v>
      </c>
    </row>
    <row r="13" spans="1:29" x14ac:dyDescent="0.3">
      <c r="A13" s="1">
        <f t="shared" si="1"/>
        <v>12</v>
      </c>
      <c r="B13">
        <v>2</v>
      </c>
      <c r="C13">
        <v>416.5</v>
      </c>
      <c r="D13">
        <v>97.5</v>
      </c>
      <c r="E13">
        <v>134.6</v>
      </c>
      <c r="F13">
        <v>145</v>
      </c>
      <c r="G13">
        <v>31</v>
      </c>
      <c r="H13">
        <v>59</v>
      </c>
      <c r="I13">
        <v>358</v>
      </c>
      <c r="J13">
        <v>33.74</v>
      </c>
      <c r="K13">
        <v>21.01</v>
      </c>
      <c r="L13">
        <v>0.223</v>
      </c>
      <c r="M13">
        <v>5.8999999999999999E-3</v>
      </c>
      <c r="N13">
        <v>0.41710000000000003</v>
      </c>
      <c r="O13">
        <v>0.78380000000000005</v>
      </c>
      <c r="P13">
        <v>383.69</v>
      </c>
      <c r="Q13">
        <v>8965.6200000000008</v>
      </c>
      <c r="R13">
        <v>3.09</v>
      </c>
      <c r="S13">
        <v>44.21</v>
      </c>
      <c r="T13">
        <v>0.24160000000000001</v>
      </c>
      <c r="U13">
        <v>1.2616000000000001</v>
      </c>
      <c r="V13">
        <v>7.7126999999999999</v>
      </c>
      <c r="W13">
        <v>0.77310000000000001</v>
      </c>
      <c r="X13">
        <v>9.01E-2</v>
      </c>
      <c r="Y13">
        <v>1.4573</v>
      </c>
      <c r="Z13">
        <v>95.5</v>
      </c>
      <c r="AA13" s="2">
        <f t="shared" si="0"/>
        <v>1</v>
      </c>
      <c r="AB13">
        <v>95.4</v>
      </c>
      <c r="AC13" s="3">
        <v>1</v>
      </c>
    </row>
    <row r="14" spans="1:29" x14ac:dyDescent="0.3">
      <c r="A14" s="1">
        <f t="shared" si="1"/>
        <v>13</v>
      </c>
      <c r="B14">
        <v>2</v>
      </c>
      <c r="C14">
        <v>577.4</v>
      </c>
      <c r="D14">
        <v>169.7</v>
      </c>
      <c r="E14">
        <v>258.3</v>
      </c>
      <c r="F14">
        <v>205</v>
      </c>
      <c r="G14">
        <v>20</v>
      </c>
      <c r="H14">
        <v>60</v>
      </c>
      <c r="I14">
        <v>448</v>
      </c>
      <c r="J14">
        <v>31.87</v>
      </c>
      <c r="K14">
        <v>16.14</v>
      </c>
      <c r="L14">
        <v>0.2298</v>
      </c>
      <c r="M14">
        <v>2.5999999999999999E-3</v>
      </c>
      <c r="N14">
        <v>0.6835</v>
      </c>
      <c r="O14">
        <v>0.66210000000000002</v>
      </c>
      <c r="P14">
        <v>305.64999999999998</v>
      </c>
      <c r="Q14">
        <v>10957.75</v>
      </c>
      <c r="R14">
        <v>2.7</v>
      </c>
      <c r="S14">
        <v>87.15</v>
      </c>
      <c r="T14">
        <v>0.23</v>
      </c>
      <c r="U14">
        <v>1.2523</v>
      </c>
      <c r="V14">
        <v>11.341799999999999</v>
      </c>
      <c r="W14">
        <v>0.84089999999999998</v>
      </c>
      <c r="X14">
        <v>9.06E-2</v>
      </c>
      <c r="Y14">
        <v>2.9512999999999998</v>
      </c>
      <c r="Z14">
        <v>84.6</v>
      </c>
      <c r="AA14" s="2">
        <f t="shared" si="0"/>
        <v>0</v>
      </c>
      <c r="AB14">
        <v>89.3</v>
      </c>
      <c r="AC14" s="3">
        <v>0</v>
      </c>
    </row>
    <row r="15" spans="1:29" x14ac:dyDescent="0.3">
      <c r="A15" s="1">
        <f t="shared" si="1"/>
        <v>14</v>
      </c>
      <c r="B15">
        <v>2</v>
      </c>
      <c r="C15">
        <v>727.5</v>
      </c>
      <c r="D15">
        <v>198.2</v>
      </c>
      <c r="E15">
        <v>268.2</v>
      </c>
      <c r="F15">
        <v>230</v>
      </c>
      <c r="G15">
        <v>22</v>
      </c>
      <c r="H15">
        <v>67</v>
      </c>
      <c r="I15">
        <v>718</v>
      </c>
      <c r="J15">
        <v>32.229999999999997</v>
      </c>
      <c r="K15">
        <v>13.37</v>
      </c>
      <c r="L15">
        <v>0.26479999999999998</v>
      </c>
      <c r="M15">
        <v>5.0000000000000001E-3</v>
      </c>
      <c r="N15">
        <v>1.0960000000000001</v>
      </c>
      <c r="O15">
        <v>0.78349999999999997</v>
      </c>
      <c r="P15">
        <v>331.13</v>
      </c>
      <c r="Q15">
        <v>9504.7199999999993</v>
      </c>
      <c r="R15">
        <v>3.48</v>
      </c>
      <c r="S15">
        <v>25.44</v>
      </c>
      <c r="T15">
        <v>0.18479999999999999</v>
      </c>
      <c r="U15">
        <v>1.3761000000000001</v>
      </c>
      <c r="V15">
        <v>13.9057</v>
      </c>
      <c r="W15">
        <v>0.85729999999999995</v>
      </c>
      <c r="X15">
        <v>9.9299999999999999E-2</v>
      </c>
      <c r="Y15">
        <v>3.4420000000000002</v>
      </c>
      <c r="Z15">
        <v>91.5</v>
      </c>
      <c r="AA15" s="2">
        <f t="shared" si="0"/>
        <v>1</v>
      </c>
      <c r="AB15">
        <v>90.8</v>
      </c>
      <c r="AC15" s="3">
        <v>1</v>
      </c>
    </row>
    <row r="16" spans="1:29" x14ac:dyDescent="0.3">
      <c r="A16" s="1">
        <f t="shared" si="1"/>
        <v>15</v>
      </c>
      <c r="B16">
        <v>2</v>
      </c>
      <c r="C16">
        <v>471.7</v>
      </c>
      <c r="D16">
        <v>161.9</v>
      </c>
      <c r="E16">
        <v>143.1</v>
      </c>
      <c r="F16">
        <v>155</v>
      </c>
      <c r="G16">
        <v>27</v>
      </c>
      <c r="H16">
        <v>57</v>
      </c>
      <c r="I16">
        <v>714</v>
      </c>
      <c r="J16">
        <v>24.24</v>
      </c>
      <c r="K16">
        <v>11.05</v>
      </c>
      <c r="L16">
        <v>0.27639999999999998</v>
      </c>
      <c r="M16">
        <v>3.0999999999999999E-3</v>
      </c>
      <c r="N16">
        <v>0.51129999999999998</v>
      </c>
      <c r="O16">
        <v>1.1116999999999999</v>
      </c>
      <c r="P16">
        <v>306.93</v>
      </c>
      <c r="Q16">
        <v>8515.5300000000007</v>
      </c>
      <c r="R16">
        <v>4.2</v>
      </c>
      <c r="S16">
        <v>14.75</v>
      </c>
      <c r="T16">
        <v>0.1807</v>
      </c>
      <c r="U16">
        <v>1.0015000000000001</v>
      </c>
      <c r="V16">
        <v>7.8954000000000004</v>
      </c>
      <c r="W16">
        <v>0.86119999999999997</v>
      </c>
      <c r="X16">
        <v>0.1212</v>
      </c>
      <c r="Y16">
        <v>1.3325</v>
      </c>
      <c r="Z16">
        <v>95.7</v>
      </c>
      <c r="AA16" s="2">
        <f t="shared" si="0"/>
        <v>1</v>
      </c>
      <c r="AB16">
        <v>96.3</v>
      </c>
      <c r="AC16" s="3">
        <v>1</v>
      </c>
    </row>
    <row r="17" spans="1:29" x14ac:dyDescent="0.3">
      <c r="A17" s="1">
        <f t="shared" si="1"/>
        <v>16</v>
      </c>
      <c r="B17">
        <v>2</v>
      </c>
      <c r="C17">
        <v>697.6</v>
      </c>
      <c r="D17">
        <v>211.8</v>
      </c>
      <c r="E17">
        <v>256.8</v>
      </c>
      <c r="F17">
        <v>215</v>
      </c>
      <c r="G17">
        <v>18</v>
      </c>
      <c r="H17">
        <v>60</v>
      </c>
      <c r="I17">
        <v>718</v>
      </c>
      <c r="J17">
        <v>30.98</v>
      </c>
      <c r="K17">
        <v>14.23</v>
      </c>
      <c r="L17">
        <v>0.28610000000000002</v>
      </c>
      <c r="M17">
        <v>7.4999999999999997E-3</v>
      </c>
      <c r="N17">
        <v>1.0517000000000001</v>
      </c>
      <c r="O17">
        <v>0.77049999999999996</v>
      </c>
      <c r="P17">
        <v>325.32</v>
      </c>
      <c r="Q17">
        <v>8155.91</v>
      </c>
      <c r="R17">
        <v>3.13</v>
      </c>
      <c r="S17">
        <v>32.69</v>
      </c>
      <c r="T17">
        <v>0.14610000000000001</v>
      </c>
      <c r="U17">
        <v>1.3048999999999999</v>
      </c>
      <c r="V17">
        <v>13.6228</v>
      </c>
      <c r="W17">
        <v>0.87990000000000002</v>
      </c>
      <c r="X17">
        <v>0.1114</v>
      </c>
      <c r="Y17">
        <v>3.4068000000000001</v>
      </c>
      <c r="Z17">
        <v>89</v>
      </c>
      <c r="AA17" s="2">
        <f t="shared" si="0"/>
        <v>0</v>
      </c>
      <c r="AB17">
        <v>86.2</v>
      </c>
      <c r="AC17" s="3">
        <v>0</v>
      </c>
    </row>
    <row r="18" spans="1:29" x14ac:dyDescent="0.3">
      <c r="A18" s="1">
        <f t="shared" si="1"/>
        <v>17</v>
      </c>
      <c r="B18">
        <v>1</v>
      </c>
      <c r="C18">
        <v>557.9</v>
      </c>
      <c r="D18">
        <v>169.1</v>
      </c>
      <c r="E18">
        <v>242.1</v>
      </c>
      <c r="F18">
        <v>230</v>
      </c>
      <c r="G18">
        <v>17</v>
      </c>
      <c r="H18">
        <v>62</v>
      </c>
      <c r="I18">
        <v>717</v>
      </c>
      <c r="J18">
        <v>26.59</v>
      </c>
      <c r="K18">
        <v>11.17</v>
      </c>
      <c r="L18">
        <v>0.2752</v>
      </c>
      <c r="M18">
        <v>6.4000000000000003E-3</v>
      </c>
      <c r="N18">
        <v>0.64419999999999999</v>
      </c>
      <c r="O18">
        <v>0.84279999999999999</v>
      </c>
      <c r="P18">
        <v>314.33999999999997</v>
      </c>
      <c r="Q18">
        <v>6158.24</v>
      </c>
      <c r="R18">
        <v>4.2699999999999996</v>
      </c>
      <c r="S18">
        <v>19.649999999999999</v>
      </c>
      <c r="T18">
        <v>0.1704</v>
      </c>
      <c r="U18">
        <v>1.1540999999999999</v>
      </c>
      <c r="V18">
        <v>11.7874</v>
      </c>
      <c r="W18">
        <v>0.87929999999999997</v>
      </c>
      <c r="X18">
        <v>0.1021</v>
      </c>
      <c r="Y18">
        <v>1.5798000000000001</v>
      </c>
      <c r="Z18">
        <v>96</v>
      </c>
      <c r="AA18" s="2">
        <f t="shared" si="0"/>
        <v>1</v>
      </c>
      <c r="AB18">
        <v>98.3</v>
      </c>
      <c r="AC18" s="3">
        <v>1</v>
      </c>
    </row>
    <row r="19" spans="1:29" x14ac:dyDescent="0.3">
      <c r="A19" s="1">
        <f t="shared" si="1"/>
        <v>18</v>
      </c>
      <c r="B19">
        <v>4</v>
      </c>
      <c r="C19">
        <v>417.3</v>
      </c>
      <c r="D19">
        <v>160.69999999999999</v>
      </c>
      <c r="E19">
        <v>172.9</v>
      </c>
      <c r="F19">
        <v>160</v>
      </c>
      <c r="G19">
        <v>1</v>
      </c>
      <c r="H19">
        <v>40</v>
      </c>
      <c r="I19">
        <v>718</v>
      </c>
      <c r="J19">
        <v>13.01</v>
      </c>
      <c r="K19">
        <v>4</v>
      </c>
      <c r="L19">
        <v>0.27889999999999998</v>
      </c>
      <c r="M19">
        <v>7.6200000000000004E-2</v>
      </c>
      <c r="N19">
        <v>0.18410000000000001</v>
      </c>
      <c r="O19">
        <v>1.2238</v>
      </c>
      <c r="P19">
        <v>267.16000000000003</v>
      </c>
      <c r="Q19">
        <v>7355.21</v>
      </c>
      <c r="R19">
        <v>4.3</v>
      </c>
      <c r="S19">
        <v>5.8</v>
      </c>
      <c r="T19">
        <v>0.1241</v>
      </c>
      <c r="U19">
        <v>0.45839999999999997</v>
      </c>
      <c r="V19">
        <v>7.3281000000000001</v>
      </c>
      <c r="W19">
        <v>0.89749999999999996</v>
      </c>
      <c r="X19">
        <v>0.13600000000000001</v>
      </c>
      <c r="Y19">
        <v>0.49249999999999999</v>
      </c>
      <c r="Z19">
        <v>96.4</v>
      </c>
      <c r="AA19" s="2">
        <f t="shared" si="0"/>
        <v>1</v>
      </c>
      <c r="AB19">
        <v>89.9</v>
      </c>
      <c r="AC19" s="3">
        <v>0</v>
      </c>
    </row>
    <row r="20" spans="1:29" x14ac:dyDescent="0.3">
      <c r="A20" s="1">
        <f t="shared" si="1"/>
        <v>19</v>
      </c>
      <c r="B20">
        <v>1</v>
      </c>
      <c r="C20">
        <v>633.70000000000005</v>
      </c>
      <c r="D20">
        <v>214.5</v>
      </c>
      <c r="E20">
        <v>193.6</v>
      </c>
      <c r="F20">
        <v>200</v>
      </c>
      <c r="G20">
        <v>24</v>
      </c>
      <c r="H20">
        <v>63</v>
      </c>
      <c r="I20">
        <v>716</v>
      </c>
      <c r="J20">
        <v>33.08</v>
      </c>
      <c r="K20">
        <v>15.79</v>
      </c>
      <c r="L20">
        <v>0.24759999999999999</v>
      </c>
      <c r="M20">
        <v>4.5999999999999999E-3</v>
      </c>
      <c r="N20">
        <v>1.0668</v>
      </c>
      <c r="O20">
        <v>0.70940000000000003</v>
      </c>
      <c r="P20">
        <v>264.5</v>
      </c>
      <c r="Q20">
        <v>7545.32</v>
      </c>
      <c r="R20">
        <v>3.31</v>
      </c>
      <c r="S20">
        <v>14.96</v>
      </c>
      <c r="T20">
        <v>0.2218</v>
      </c>
      <c r="U20">
        <v>1.2744</v>
      </c>
      <c r="V20">
        <v>11.7186</v>
      </c>
      <c r="W20">
        <v>0.82189999999999996</v>
      </c>
      <c r="X20">
        <v>9.2600000000000002E-2</v>
      </c>
      <c r="Y20">
        <v>3.7465000000000002</v>
      </c>
      <c r="Z20">
        <v>86.6</v>
      </c>
      <c r="AA20" s="2">
        <f t="shared" si="0"/>
        <v>0</v>
      </c>
      <c r="AB20">
        <v>88.8</v>
      </c>
      <c r="AC20" s="3">
        <v>0</v>
      </c>
    </row>
    <row r="21" spans="1:29" x14ac:dyDescent="0.3">
      <c r="A21" s="1">
        <f t="shared" si="1"/>
        <v>20</v>
      </c>
      <c r="B21">
        <v>3</v>
      </c>
      <c r="C21">
        <v>425.7</v>
      </c>
      <c r="D21">
        <v>95.9</v>
      </c>
      <c r="E21">
        <v>101.2</v>
      </c>
      <c r="F21">
        <v>125</v>
      </c>
      <c r="G21">
        <v>17</v>
      </c>
      <c r="H21">
        <v>29</v>
      </c>
      <c r="I21">
        <v>396</v>
      </c>
      <c r="J21">
        <v>28.04</v>
      </c>
      <c r="K21">
        <v>14.08</v>
      </c>
      <c r="L21">
        <v>0.1946</v>
      </c>
      <c r="M21">
        <v>0</v>
      </c>
      <c r="N21">
        <v>0.39850000000000002</v>
      </c>
      <c r="O21">
        <v>0.94689999999999996</v>
      </c>
      <c r="P21">
        <v>350.98</v>
      </c>
      <c r="Q21">
        <v>5641.42</v>
      </c>
      <c r="R21">
        <v>3.83</v>
      </c>
      <c r="S21">
        <v>21.22</v>
      </c>
      <c r="T21">
        <v>0.2979</v>
      </c>
      <c r="U21">
        <v>0.94550000000000001</v>
      </c>
      <c r="V21">
        <v>4.1875999999999998</v>
      </c>
      <c r="W21">
        <v>0.69640000000000002</v>
      </c>
      <c r="X21">
        <v>5.1700000000000003E-2</v>
      </c>
      <c r="Y21">
        <v>1.1488</v>
      </c>
      <c r="Z21">
        <v>87.9</v>
      </c>
      <c r="AA21" s="2">
        <f t="shared" si="0"/>
        <v>0</v>
      </c>
      <c r="AB21">
        <v>96.4</v>
      </c>
      <c r="AC21" s="3">
        <v>1</v>
      </c>
    </row>
    <row r="22" spans="1:29" x14ac:dyDescent="0.3">
      <c r="A22" s="1">
        <f t="shared" si="1"/>
        <v>21</v>
      </c>
      <c r="B22">
        <v>1</v>
      </c>
      <c r="C22">
        <v>457.8</v>
      </c>
      <c r="D22">
        <v>97.3</v>
      </c>
      <c r="E22">
        <v>144.69999999999999</v>
      </c>
      <c r="F22">
        <v>150</v>
      </c>
      <c r="G22">
        <v>30</v>
      </c>
      <c r="H22">
        <v>59</v>
      </c>
      <c r="I22">
        <v>386</v>
      </c>
      <c r="J22">
        <v>25.71</v>
      </c>
      <c r="K22">
        <v>13.75</v>
      </c>
      <c r="L22">
        <v>0.2525</v>
      </c>
      <c r="M22">
        <v>6.8999999999999999E-3</v>
      </c>
      <c r="N22">
        <v>0.47599999999999998</v>
      </c>
      <c r="O22">
        <v>0.80710000000000004</v>
      </c>
      <c r="P22">
        <v>349.52</v>
      </c>
      <c r="Q22">
        <v>7917.86</v>
      </c>
      <c r="R22">
        <v>3.67</v>
      </c>
      <c r="S22">
        <v>27.62</v>
      </c>
      <c r="T22">
        <v>0.2031</v>
      </c>
      <c r="U22">
        <v>1.1226</v>
      </c>
      <c r="V22">
        <v>7.6505000000000001</v>
      </c>
      <c r="W22">
        <v>0.87190000000000001</v>
      </c>
      <c r="X22">
        <v>0.1018</v>
      </c>
      <c r="Y22">
        <v>1.3993</v>
      </c>
      <c r="Z22">
        <v>98.7</v>
      </c>
      <c r="AA22" s="2">
        <f t="shared" si="0"/>
        <v>1</v>
      </c>
      <c r="AB22">
        <v>97.6</v>
      </c>
      <c r="AC22" s="3">
        <v>1</v>
      </c>
    </row>
    <row r="23" spans="1:29" x14ac:dyDescent="0.3">
      <c r="A23" s="1">
        <f t="shared" si="1"/>
        <v>22</v>
      </c>
      <c r="B23">
        <v>2</v>
      </c>
      <c r="C23">
        <v>656.5</v>
      </c>
      <c r="D23">
        <v>164.3</v>
      </c>
      <c r="E23">
        <v>148.5</v>
      </c>
      <c r="F23">
        <v>190</v>
      </c>
      <c r="G23">
        <v>16</v>
      </c>
      <c r="H23">
        <v>53</v>
      </c>
      <c r="I23">
        <v>714</v>
      </c>
      <c r="J23">
        <v>24.83</v>
      </c>
      <c r="K23">
        <v>12.17</v>
      </c>
      <c r="L23">
        <v>0.24429999999999999</v>
      </c>
      <c r="M23">
        <v>2.7000000000000001E-3</v>
      </c>
      <c r="N23">
        <v>0.61580000000000001</v>
      </c>
      <c r="O23">
        <v>0.84740000000000004</v>
      </c>
      <c r="P23">
        <v>339.14</v>
      </c>
      <c r="Q23">
        <v>10531.61</v>
      </c>
      <c r="R23">
        <v>4.17</v>
      </c>
      <c r="S23">
        <v>18.670000000000002</v>
      </c>
      <c r="T23">
        <v>0.22639999999999999</v>
      </c>
      <c r="U23">
        <v>1.3379000000000001</v>
      </c>
      <c r="V23">
        <v>11.680099999999999</v>
      </c>
      <c r="W23">
        <v>0.79210000000000003</v>
      </c>
      <c r="X23">
        <v>9.9400000000000002E-2</v>
      </c>
      <c r="Y23">
        <v>1.5649999999999999</v>
      </c>
      <c r="Z23">
        <v>87.4</v>
      </c>
      <c r="AA23" s="2">
        <f t="shared" si="0"/>
        <v>0</v>
      </c>
      <c r="AB23">
        <v>87.1</v>
      </c>
      <c r="AC23" s="3">
        <v>0</v>
      </c>
    </row>
    <row r="24" spans="1:29" x14ac:dyDescent="0.3">
      <c r="A24" s="1">
        <f t="shared" si="1"/>
        <v>23</v>
      </c>
      <c r="B24">
        <v>2</v>
      </c>
      <c r="C24">
        <v>1830.8</v>
      </c>
      <c r="D24">
        <v>261.89999999999998</v>
      </c>
      <c r="E24">
        <v>77.599999999999994</v>
      </c>
      <c r="F24">
        <v>80</v>
      </c>
      <c r="G24">
        <v>33</v>
      </c>
      <c r="H24">
        <v>48</v>
      </c>
      <c r="I24">
        <v>454</v>
      </c>
      <c r="J24">
        <v>15.41</v>
      </c>
      <c r="K24">
        <v>7.61</v>
      </c>
      <c r="L24">
        <v>0.26850000000000002</v>
      </c>
      <c r="M24">
        <v>4.1000000000000003E-3</v>
      </c>
      <c r="N24">
        <v>0.1991</v>
      </c>
      <c r="O24">
        <v>0.80169999999999997</v>
      </c>
      <c r="P24">
        <v>446.51</v>
      </c>
      <c r="Q24">
        <v>7657.15</v>
      </c>
      <c r="R24">
        <v>1.5</v>
      </c>
      <c r="S24">
        <v>83.1</v>
      </c>
      <c r="T24">
        <v>0.22720000000000001</v>
      </c>
      <c r="U24">
        <v>1.0331999999999999</v>
      </c>
      <c r="V24">
        <v>5.8407</v>
      </c>
      <c r="W24">
        <v>0.77359999999999995</v>
      </c>
      <c r="X24">
        <v>0.1255</v>
      </c>
      <c r="Y24">
        <v>1.3865000000000001</v>
      </c>
      <c r="Z24">
        <v>86.6</v>
      </c>
      <c r="AA24" s="2">
        <f t="shared" si="0"/>
        <v>0</v>
      </c>
      <c r="AB24">
        <v>84.1</v>
      </c>
      <c r="AC24" s="3">
        <v>0</v>
      </c>
    </row>
    <row r="25" spans="1:29" x14ac:dyDescent="0.3">
      <c r="A25" s="1">
        <f t="shared" si="1"/>
        <v>24</v>
      </c>
      <c r="B25">
        <v>1</v>
      </c>
      <c r="C25">
        <v>725.3</v>
      </c>
      <c r="D25">
        <v>169.6</v>
      </c>
      <c r="E25">
        <v>200.1</v>
      </c>
      <c r="F25">
        <v>210</v>
      </c>
      <c r="G25">
        <v>23</v>
      </c>
      <c r="H25">
        <v>64</v>
      </c>
      <c r="I25">
        <v>712</v>
      </c>
      <c r="J25">
        <v>26.79</v>
      </c>
      <c r="K25">
        <v>12.33</v>
      </c>
      <c r="L25">
        <v>0.28170000000000001</v>
      </c>
      <c r="M25">
        <v>8.9999999999999998E-4</v>
      </c>
      <c r="N25">
        <v>0.77529999999999999</v>
      </c>
      <c r="O25">
        <v>0.68889999999999996</v>
      </c>
      <c r="P25">
        <v>332.77</v>
      </c>
      <c r="Q25">
        <v>7605.78</v>
      </c>
      <c r="R25">
        <v>3.97</v>
      </c>
      <c r="S25">
        <v>21.28</v>
      </c>
      <c r="T25">
        <v>0.1779</v>
      </c>
      <c r="U25">
        <v>1.5256000000000001</v>
      </c>
      <c r="V25">
        <v>14.5524</v>
      </c>
      <c r="W25">
        <v>0.85309999999999997</v>
      </c>
      <c r="X25">
        <v>0.11360000000000001</v>
      </c>
      <c r="Y25">
        <v>2.0169999999999999</v>
      </c>
      <c r="Z25">
        <v>91.8</v>
      </c>
      <c r="AA25" s="2">
        <f t="shared" si="0"/>
        <v>1</v>
      </c>
      <c r="AB25">
        <v>94.9</v>
      </c>
      <c r="AC25" s="3">
        <v>1</v>
      </c>
    </row>
    <row r="26" spans="1:29" x14ac:dyDescent="0.3">
      <c r="A26" s="1">
        <f t="shared" si="1"/>
        <v>25</v>
      </c>
      <c r="B26">
        <v>1</v>
      </c>
      <c r="C26">
        <v>779.9</v>
      </c>
      <c r="D26">
        <v>177.8</v>
      </c>
      <c r="E26">
        <v>210</v>
      </c>
      <c r="F26">
        <v>215</v>
      </c>
      <c r="G26">
        <v>22</v>
      </c>
      <c r="H26">
        <v>64</v>
      </c>
      <c r="I26">
        <v>712</v>
      </c>
      <c r="J26">
        <v>25.23</v>
      </c>
      <c r="K26">
        <v>10.57</v>
      </c>
      <c r="L26">
        <v>0.3004</v>
      </c>
      <c r="M26">
        <v>8.6999999999999994E-3</v>
      </c>
      <c r="N26">
        <v>0.7248</v>
      </c>
      <c r="O26">
        <v>0.69240000000000002</v>
      </c>
      <c r="P26">
        <v>329.21</v>
      </c>
      <c r="Q26">
        <v>6643.95</v>
      </c>
      <c r="R26">
        <v>3.71</v>
      </c>
      <c r="S26">
        <v>27.79</v>
      </c>
      <c r="T26">
        <v>0.16689999999999999</v>
      </c>
      <c r="U26">
        <v>1.4539</v>
      </c>
      <c r="V26">
        <v>14.741199999999999</v>
      </c>
      <c r="W26">
        <v>0.86360000000000003</v>
      </c>
      <c r="X26">
        <v>0.11559999999999999</v>
      </c>
      <c r="Y26">
        <v>2.0183</v>
      </c>
      <c r="Z26">
        <v>93.6</v>
      </c>
      <c r="AA26" s="2">
        <f t="shared" si="0"/>
        <v>1</v>
      </c>
      <c r="AB26">
        <v>97.8</v>
      </c>
      <c r="AC26" s="3">
        <v>1</v>
      </c>
    </row>
    <row r="27" spans="1:29" x14ac:dyDescent="0.3">
      <c r="A27" s="1">
        <f t="shared" si="1"/>
        <v>26</v>
      </c>
      <c r="B27">
        <v>1</v>
      </c>
      <c r="C27">
        <v>469</v>
      </c>
      <c r="D27">
        <v>143.80000000000001</v>
      </c>
      <c r="E27">
        <v>168.6</v>
      </c>
      <c r="F27">
        <v>115</v>
      </c>
      <c r="G27">
        <v>35</v>
      </c>
      <c r="H27">
        <v>57</v>
      </c>
      <c r="I27">
        <v>418</v>
      </c>
      <c r="J27">
        <v>36.18</v>
      </c>
      <c r="K27">
        <v>16.670000000000002</v>
      </c>
      <c r="L27">
        <v>0.22289999999999999</v>
      </c>
      <c r="M27">
        <v>1.6000000000000001E-3</v>
      </c>
      <c r="N27">
        <v>0.71330000000000005</v>
      </c>
      <c r="O27">
        <v>0.753</v>
      </c>
      <c r="P27">
        <v>260.72000000000003</v>
      </c>
      <c r="Q27">
        <v>8801.14</v>
      </c>
      <c r="R27">
        <v>3.01</v>
      </c>
      <c r="S27">
        <v>76.05</v>
      </c>
      <c r="T27">
        <v>0.29909999999999998</v>
      </c>
      <c r="U27">
        <v>1.1394</v>
      </c>
      <c r="V27">
        <v>6.3926999999999996</v>
      </c>
      <c r="W27">
        <v>0.75890000000000002</v>
      </c>
      <c r="X27">
        <v>9.0499999999999997E-2</v>
      </c>
      <c r="Y27">
        <v>2.7757999999999998</v>
      </c>
      <c r="Z27">
        <v>91.2</v>
      </c>
      <c r="AA27" s="2">
        <f t="shared" si="0"/>
        <v>1</v>
      </c>
      <c r="AB27">
        <v>91.1</v>
      </c>
      <c r="AC27" s="3">
        <v>1</v>
      </c>
    </row>
    <row r="28" spans="1:29" x14ac:dyDescent="0.3">
      <c r="A28" s="1">
        <f t="shared" si="1"/>
        <v>27</v>
      </c>
      <c r="B28">
        <v>2</v>
      </c>
      <c r="C28">
        <v>659.8</v>
      </c>
      <c r="D28">
        <v>206.5</v>
      </c>
      <c r="E28">
        <v>230.2</v>
      </c>
      <c r="F28">
        <v>220</v>
      </c>
      <c r="G28">
        <v>21</v>
      </c>
      <c r="H28">
        <v>64</v>
      </c>
      <c r="I28">
        <v>718</v>
      </c>
      <c r="J28">
        <v>28.84</v>
      </c>
      <c r="K28">
        <v>12.11</v>
      </c>
      <c r="L28">
        <v>0.2747</v>
      </c>
      <c r="M28">
        <v>6.3E-3</v>
      </c>
      <c r="N28">
        <v>1.0438000000000001</v>
      </c>
      <c r="O28">
        <v>0.77500000000000002</v>
      </c>
      <c r="P28">
        <v>317.18</v>
      </c>
      <c r="Q28">
        <v>8760.75</v>
      </c>
      <c r="R28">
        <v>3.31</v>
      </c>
      <c r="S28">
        <v>20.170000000000002</v>
      </c>
      <c r="T28">
        <v>0.18729999999999999</v>
      </c>
      <c r="U28">
        <v>1.2952999999999999</v>
      </c>
      <c r="V28">
        <v>14.1028</v>
      </c>
      <c r="W28">
        <v>0.86050000000000004</v>
      </c>
      <c r="X28">
        <v>0.1046</v>
      </c>
      <c r="Y28">
        <v>3.4704000000000002</v>
      </c>
      <c r="Z28">
        <v>84.4</v>
      </c>
      <c r="AA28" s="2">
        <f t="shared" si="0"/>
        <v>0</v>
      </c>
      <c r="AB28">
        <v>87.5</v>
      </c>
      <c r="AC28" s="3">
        <v>0</v>
      </c>
    </row>
    <row r="29" spans="1:29" x14ac:dyDescent="0.3">
      <c r="A29" s="1">
        <f t="shared" si="1"/>
        <v>28</v>
      </c>
      <c r="B29">
        <v>2</v>
      </c>
      <c r="C29">
        <v>466.5</v>
      </c>
      <c r="D29">
        <v>167.9</v>
      </c>
      <c r="E29">
        <v>68.599999999999994</v>
      </c>
      <c r="F29">
        <v>75</v>
      </c>
      <c r="G29">
        <v>33</v>
      </c>
      <c r="H29">
        <v>47</v>
      </c>
      <c r="I29">
        <v>716</v>
      </c>
      <c r="J29">
        <v>16.29</v>
      </c>
      <c r="K29">
        <v>9.1300000000000008</v>
      </c>
      <c r="L29">
        <v>0.28139999999999998</v>
      </c>
      <c r="M29">
        <v>6.1999999999999998E-3</v>
      </c>
      <c r="N29">
        <v>0.52329999999999999</v>
      </c>
      <c r="O29">
        <v>1.8592</v>
      </c>
      <c r="P29">
        <v>273.08</v>
      </c>
      <c r="Q29">
        <v>7972.51</v>
      </c>
      <c r="R29">
        <v>4.0599999999999996</v>
      </c>
      <c r="S29">
        <v>32.090000000000003</v>
      </c>
      <c r="T29">
        <v>0.19889999999999999</v>
      </c>
      <c r="U29">
        <v>0.76100000000000001</v>
      </c>
      <c r="V29">
        <v>4.8163999999999998</v>
      </c>
      <c r="W29">
        <v>0.7823</v>
      </c>
      <c r="X29">
        <v>0.1419</v>
      </c>
      <c r="Y29">
        <v>1.3169</v>
      </c>
      <c r="Z29">
        <v>95.2</v>
      </c>
      <c r="AA29" s="2">
        <f t="shared" si="0"/>
        <v>1</v>
      </c>
      <c r="AB29">
        <v>91.5</v>
      </c>
      <c r="AC29" s="3">
        <v>1</v>
      </c>
    </row>
    <row r="30" spans="1:29" x14ac:dyDescent="0.3">
      <c r="A30" s="1">
        <f t="shared" si="1"/>
        <v>29</v>
      </c>
      <c r="B30">
        <v>2</v>
      </c>
      <c r="C30">
        <v>889.2</v>
      </c>
      <c r="D30">
        <v>157.19999999999999</v>
      </c>
      <c r="E30">
        <v>167</v>
      </c>
      <c r="F30">
        <v>105</v>
      </c>
      <c r="G30">
        <v>40</v>
      </c>
      <c r="H30">
        <v>60</v>
      </c>
      <c r="I30">
        <v>358</v>
      </c>
      <c r="J30">
        <v>25.46</v>
      </c>
      <c r="K30">
        <v>11.02</v>
      </c>
      <c r="L30">
        <v>0.23749999999999999</v>
      </c>
      <c r="M30">
        <v>1.8E-3</v>
      </c>
      <c r="N30">
        <v>0.44969999999999999</v>
      </c>
      <c r="O30">
        <v>0.74950000000000006</v>
      </c>
      <c r="P30">
        <v>413.05</v>
      </c>
      <c r="Q30">
        <v>8647.67</v>
      </c>
      <c r="R30">
        <v>2.12</v>
      </c>
      <c r="S30">
        <v>87.82</v>
      </c>
      <c r="T30">
        <v>0.24840000000000001</v>
      </c>
      <c r="U30">
        <v>1.1016999999999999</v>
      </c>
      <c r="V30">
        <v>5.9219999999999997</v>
      </c>
      <c r="W30">
        <v>0.86180000000000001</v>
      </c>
      <c r="X30">
        <v>0.1026</v>
      </c>
      <c r="Y30">
        <v>2.4428999999999998</v>
      </c>
      <c r="Z30">
        <v>89.6</v>
      </c>
      <c r="AA30" s="2">
        <f t="shared" si="0"/>
        <v>0</v>
      </c>
      <c r="AB30">
        <v>84.9</v>
      </c>
      <c r="AC30" s="3">
        <v>0</v>
      </c>
    </row>
    <row r="31" spans="1:29" x14ac:dyDescent="0.3">
      <c r="A31" s="1">
        <f t="shared" si="1"/>
        <v>30</v>
      </c>
      <c r="B31">
        <v>3</v>
      </c>
      <c r="C31">
        <v>808.1</v>
      </c>
      <c r="D31">
        <v>187.3</v>
      </c>
      <c r="E31">
        <v>101</v>
      </c>
      <c r="F31">
        <v>120</v>
      </c>
      <c r="G31">
        <v>14</v>
      </c>
      <c r="H31">
        <v>25</v>
      </c>
      <c r="I31">
        <v>759</v>
      </c>
      <c r="J31">
        <v>35.19</v>
      </c>
      <c r="K31">
        <v>23.57</v>
      </c>
      <c r="L31">
        <v>0.20849999999999999</v>
      </c>
      <c r="M31">
        <v>0</v>
      </c>
      <c r="N31">
        <v>0.36409999999999998</v>
      </c>
      <c r="O31">
        <v>0.96640000000000004</v>
      </c>
      <c r="P31">
        <v>342.8</v>
      </c>
      <c r="Q31">
        <v>5563.54</v>
      </c>
      <c r="R31">
        <v>3.67</v>
      </c>
      <c r="S31">
        <v>23.81</v>
      </c>
      <c r="T31">
        <v>0.3</v>
      </c>
      <c r="U31">
        <v>0.96530000000000005</v>
      </c>
      <c r="V31">
        <v>3.8163</v>
      </c>
      <c r="W31">
        <v>0.64139999999999997</v>
      </c>
      <c r="X31">
        <v>5.4899999999999997E-2</v>
      </c>
      <c r="Y31">
        <v>1.101</v>
      </c>
      <c r="Z31">
        <v>97.1</v>
      </c>
      <c r="AA31" s="2">
        <f t="shared" si="0"/>
        <v>1</v>
      </c>
      <c r="AB31">
        <v>99.8</v>
      </c>
      <c r="AC31" s="3">
        <v>1</v>
      </c>
    </row>
    <row r="32" spans="1:29" x14ac:dyDescent="0.3">
      <c r="A32" s="1">
        <f t="shared" si="1"/>
        <v>31</v>
      </c>
      <c r="B32">
        <v>1</v>
      </c>
      <c r="C32">
        <v>754.6</v>
      </c>
      <c r="D32">
        <v>169.8</v>
      </c>
      <c r="E32">
        <v>189.2</v>
      </c>
      <c r="F32">
        <v>220</v>
      </c>
      <c r="G32">
        <v>23</v>
      </c>
      <c r="H32">
        <v>66</v>
      </c>
      <c r="I32">
        <v>714</v>
      </c>
      <c r="J32">
        <v>19.53</v>
      </c>
      <c r="K32">
        <v>7</v>
      </c>
      <c r="L32">
        <v>0.31940000000000002</v>
      </c>
      <c r="M32">
        <v>7.4000000000000003E-3</v>
      </c>
      <c r="N32">
        <v>0.66800000000000004</v>
      </c>
      <c r="O32">
        <v>0.79720000000000002</v>
      </c>
      <c r="P32">
        <v>346.51</v>
      </c>
      <c r="Q32">
        <v>9596.93</v>
      </c>
      <c r="R32">
        <v>4.03</v>
      </c>
      <c r="S32">
        <v>25.94</v>
      </c>
      <c r="T32">
        <v>0.14749999999999999</v>
      </c>
      <c r="U32">
        <v>1.4185000000000001</v>
      </c>
      <c r="V32">
        <v>17.664100000000001</v>
      </c>
      <c r="W32">
        <v>0.88329999999999997</v>
      </c>
      <c r="X32">
        <v>0.13239999999999999</v>
      </c>
      <c r="Y32">
        <v>1.6896</v>
      </c>
      <c r="Z32">
        <v>95.5</v>
      </c>
      <c r="AA32" s="2">
        <f t="shared" si="0"/>
        <v>1</v>
      </c>
      <c r="AB32">
        <v>97.6</v>
      </c>
      <c r="AC32" s="3">
        <v>1</v>
      </c>
    </row>
    <row r="33" spans="1:29" x14ac:dyDescent="0.3">
      <c r="A33" s="1">
        <f t="shared" si="1"/>
        <v>32</v>
      </c>
      <c r="B33">
        <v>2</v>
      </c>
      <c r="C33">
        <v>480.9</v>
      </c>
      <c r="D33">
        <v>189.8</v>
      </c>
      <c r="E33">
        <v>237.6</v>
      </c>
      <c r="F33">
        <v>230</v>
      </c>
      <c r="G33">
        <v>21</v>
      </c>
      <c r="H33">
        <v>66</v>
      </c>
      <c r="I33">
        <v>478</v>
      </c>
      <c r="J33">
        <v>25.87</v>
      </c>
      <c r="K33">
        <v>10.94</v>
      </c>
      <c r="L33">
        <v>0.27879999999999999</v>
      </c>
      <c r="M33">
        <v>3.2000000000000002E-3</v>
      </c>
      <c r="N33">
        <v>0.66569999999999996</v>
      </c>
      <c r="O33">
        <v>0.97509999999999997</v>
      </c>
      <c r="P33">
        <v>230.85</v>
      </c>
      <c r="Q33">
        <v>6481.89</v>
      </c>
      <c r="R33">
        <v>2.4900000000000002</v>
      </c>
      <c r="S33">
        <v>73.5</v>
      </c>
      <c r="T33">
        <v>0.1603</v>
      </c>
      <c r="U33">
        <v>0.90639999999999998</v>
      </c>
      <c r="V33">
        <v>13.3744</v>
      </c>
      <c r="W33">
        <v>0.88959999999999995</v>
      </c>
      <c r="X33">
        <v>0.1114</v>
      </c>
      <c r="Y33">
        <v>2.79</v>
      </c>
      <c r="Z33">
        <v>92.3</v>
      </c>
      <c r="AA33" s="2">
        <f t="shared" si="0"/>
        <v>1</v>
      </c>
      <c r="AB33">
        <v>92.9</v>
      </c>
      <c r="AC33" s="3">
        <v>1</v>
      </c>
    </row>
    <row r="34" spans="1:29" x14ac:dyDescent="0.3">
      <c r="A34" s="1">
        <f t="shared" si="1"/>
        <v>33</v>
      </c>
      <c r="B34">
        <v>3</v>
      </c>
      <c r="C34">
        <v>341.7</v>
      </c>
      <c r="D34">
        <v>92.7</v>
      </c>
      <c r="E34">
        <v>190.7</v>
      </c>
      <c r="F34">
        <v>190</v>
      </c>
      <c r="G34">
        <v>15</v>
      </c>
      <c r="H34">
        <v>33</v>
      </c>
      <c r="I34">
        <v>396</v>
      </c>
      <c r="J34">
        <v>37.26</v>
      </c>
      <c r="K34">
        <v>24.56</v>
      </c>
      <c r="L34">
        <v>0.22589999999999999</v>
      </c>
      <c r="M34">
        <v>0</v>
      </c>
      <c r="N34">
        <v>0.50560000000000005</v>
      </c>
      <c r="O34">
        <v>0.82989999999999997</v>
      </c>
      <c r="P34">
        <v>334.84</v>
      </c>
      <c r="Q34">
        <v>6190.64</v>
      </c>
      <c r="R34">
        <v>3.97</v>
      </c>
      <c r="S34">
        <v>13.45</v>
      </c>
      <c r="T34">
        <v>0.21870000000000001</v>
      </c>
      <c r="U34">
        <v>1.0048999999999999</v>
      </c>
      <c r="V34">
        <v>4.4724000000000004</v>
      </c>
      <c r="W34">
        <v>0.88160000000000005</v>
      </c>
      <c r="X34">
        <v>5.5599999999999997E-2</v>
      </c>
      <c r="Y34">
        <v>1.4060999999999999</v>
      </c>
      <c r="Z34">
        <v>91</v>
      </c>
      <c r="AA34" s="2">
        <f t="shared" si="0"/>
        <v>1</v>
      </c>
      <c r="AB34">
        <v>91.6</v>
      </c>
      <c r="AC34" s="3">
        <v>1</v>
      </c>
    </row>
    <row r="35" spans="1:29" x14ac:dyDescent="0.3">
      <c r="A35" s="1">
        <f t="shared" si="1"/>
        <v>34</v>
      </c>
      <c r="B35">
        <v>1</v>
      </c>
      <c r="C35">
        <v>773.6</v>
      </c>
      <c r="D35">
        <v>166.4</v>
      </c>
      <c r="E35">
        <v>181.8</v>
      </c>
      <c r="F35">
        <v>205</v>
      </c>
      <c r="G35">
        <v>22</v>
      </c>
      <c r="H35">
        <v>62</v>
      </c>
      <c r="I35">
        <v>714</v>
      </c>
      <c r="J35">
        <v>25.97</v>
      </c>
      <c r="K35">
        <v>9.31</v>
      </c>
      <c r="L35">
        <v>0.2949</v>
      </c>
      <c r="M35">
        <v>3.3999999999999998E-3</v>
      </c>
      <c r="N35">
        <v>0.69430000000000003</v>
      </c>
      <c r="O35">
        <v>0.76270000000000004</v>
      </c>
      <c r="P35">
        <v>349.79</v>
      </c>
      <c r="Q35">
        <v>8204.4500000000007</v>
      </c>
      <c r="R35">
        <v>4.16</v>
      </c>
      <c r="S35">
        <v>21.47</v>
      </c>
      <c r="T35">
        <v>0.16850000000000001</v>
      </c>
      <c r="U35">
        <v>1.3904000000000001</v>
      </c>
      <c r="V35">
        <v>14.056800000000001</v>
      </c>
      <c r="W35">
        <v>0.82909999999999995</v>
      </c>
      <c r="X35">
        <v>0.1111</v>
      </c>
      <c r="Y35">
        <v>1.7346999999999999</v>
      </c>
      <c r="Z35">
        <v>96.1</v>
      </c>
      <c r="AA35" s="2">
        <f t="shared" si="0"/>
        <v>1</v>
      </c>
      <c r="AB35">
        <v>95.5</v>
      </c>
      <c r="AC35" s="3">
        <v>1</v>
      </c>
    </row>
    <row r="36" spans="1:29" x14ac:dyDescent="0.3">
      <c r="A36" s="1">
        <f t="shared" si="1"/>
        <v>35</v>
      </c>
      <c r="B36">
        <v>2</v>
      </c>
      <c r="C36">
        <v>452.4</v>
      </c>
      <c r="D36">
        <v>90.5</v>
      </c>
      <c r="E36">
        <v>56.6</v>
      </c>
      <c r="F36">
        <v>50</v>
      </c>
      <c r="G36">
        <v>36</v>
      </c>
      <c r="H36">
        <v>45</v>
      </c>
      <c r="I36">
        <v>290</v>
      </c>
      <c r="J36">
        <v>16.559999999999999</v>
      </c>
      <c r="K36">
        <v>9.4</v>
      </c>
      <c r="L36">
        <v>0.2581</v>
      </c>
      <c r="M36">
        <v>3.3999999999999998E-3</v>
      </c>
      <c r="N36">
        <v>0.26669999999999999</v>
      </c>
      <c r="O36">
        <v>0.97440000000000004</v>
      </c>
      <c r="P36">
        <v>398.62</v>
      </c>
      <c r="Q36">
        <v>9148.35</v>
      </c>
      <c r="R36">
        <v>2.48</v>
      </c>
      <c r="S36">
        <v>55.39</v>
      </c>
      <c r="T36">
        <v>0.25979999999999998</v>
      </c>
      <c r="U36">
        <v>1.1698999999999999</v>
      </c>
      <c r="V36">
        <v>4.3227000000000002</v>
      </c>
      <c r="W36">
        <v>0.64459999999999995</v>
      </c>
      <c r="X36">
        <v>0.1361</v>
      </c>
      <c r="Y36">
        <v>1.0553999999999999</v>
      </c>
      <c r="Z36">
        <v>92.6</v>
      </c>
      <c r="AA36" s="2">
        <f t="shared" si="0"/>
        <v>1</v>
      </c>
      <c r="AB36">
        <v>84.8</v>
      </c>
      <c r="AC36" s="3">
        <v>0</v>
      </c>
    </row>
    <row r="37" spans="1:29" x14ac:dyDescent="0.3">
      <c r="A37" s="1">
        <f t="shared" si="1"/>
        <v>36</v>
      </c>
      <c r="B37">
        <v>1</v>
      </c>
      <c r="C37">
        <v>422.7</v>
      </c>
      <c r="D37">
        <v>145.19999999999999</v>
      </c>
      <c r="E37">
        <v>251.2</v>
      </c>
      <c r="F37">
        <v>215</v>
      </c>
      <c r="G37">
        <v>20</v>
      </c>
      <c r="H37">
        <v>62</v>
      </c>
      <c r="I37">
        <v>420</v>
      </c>
      <c r="J37">
        <v>32.96</v>
      </c>
      <c r="K37">
        <v>13.86</v>
      </c>
      <c r="L37">
        <v>0.23849999999999999</v>
      </c>
      <c r="M37">
        <v>2.5999999999999999E-3</v>
      </c>
      <c r="N37">
        <v>0.79800000000000004</v>
      </c>
      <c r="O37">
        <v>0.76180000000000003</v>
      </c>
      <c r="P37">
        <v>251.54</v>
      </c>
      <c r="Q37">
        <v>4783.62</v>
      </c>
      <c r="R37">
        <v>2.81</v>
      </c>
      <c r="S37">
        <v>35.61</v>
      </c>
      <c r="T37">
        <v>0.22620000000000001</v>
      </c>
      <c r="U37">
        <v>0.97729999999999995</v>
      </c>
      <c r="V37">
        <v>11.023999999999999</v>
      </c>
      <c r="W37">
        <v>0.8377</v>
      </c>
      <c r="X37">
        <v>8.7099999999999997E-2</v>
      </c>
      <c r="Y37">
        <v>2.9615999999999998</v>
      </c>
      <c r="Z37">
        <v>94.7</v>
      </c>
      <c r="AA37" s="2">
        <f t="shared" si="0"/>
        <v>1</v>
      </c>
      <c r="AB37">
        <v>95.8</v>
      </c>
      <c r="AC37" s="3">
        <v>1</v>
      </c>
    </row>
    <row r="38" spans="1:29" x14ac:dyDescent="0.3">
      <c r="A38" s="1">
        <f t="shared" si="1"/>
        <v>37</v>
      </c>
      <c r="B38">
        <v>1</v>
      </c>
      <c r="C38">
        <v>678.9</v>
      </c>
      <c r="D38">
        <v>211.1</v>
      </c>
      <c r="E38">
        <v>252.1</v>
      </c>
      <c r="F38">
        <v>245</v>
      </c>
      <c r="G38">
        <v>16</v>
      </c>
      <c r="H38">
        <v>64</v>
      </c>
      <c r="I38">
        <v>718</v>
      </c>
      <c r="J38">
        <v>26.71</v>
      </c>
      <c r="K38">
        <v>10.039999999999999</v>
      </c>
      <c r="L38">
        <v>0.28849999999999998</v>
      </c>
      <c r="M38">
        <v>5.8999999999999999E-3</v>
      </c>
      <c r="N38">
        <v>1.0378000000000001</v>
      </c>
      <c r="O38">
        <v>0.83140000000000003</v>
      </c>
      <c r="P38">
        <v>276.29000000000002</v>
      </c>
      <c r="Q38">
        <v>8642.09</v>
      </c>
      <c r="R38">
        <v>3.33</v>
      </c>
      <c r="S38">
        <v>14.79</v>
      </c>
      <c r="T38">
        <v>0.16370000000000001</v>
      </c>
      <c r="U38">
        <v>1.1795</v>
      </c>
      <c r="V38">
        <v>14.9892</v>
      </c>
      <c r="W38">
        <v>0.87719999999999998</v>
      </c>
      <c r="X38">
        <v>0.1085</v>
      </c>
      <c r="Y38">
        <v>3.4036</v>
      </c>
      <c r="Z38">
        <v>92.4</v>
      </c>
      <c r="AA38" s="2">
        <f t="shared" si="0"/>
        <v>1</v>
      </c>
      <c r="AB38">
        <v>94.3</v>
      </c>
      <c r="AC38" s="3">
        <v>1</v>
      </c>
    </row>
    <row r="39" spans="1:29" x14ac:dyDescent="0.3">
      <c r="A39" s="1">
        <f t="shared" si="1"/>
        <v>38</v>
      </c>
      <c r="B39">
        <v>2</v>
      </c>
      <c r="C39">
        <v>689.9</v>
      </c>
      <c r="D39">
        <v>112.9</v>
      </c>
      <c r="E39">
        <v>91.8</v>
      </c>
      <c r="F39">
        <v>105</v>
      </c>
      <c r="G39">
        <v>32</v>
      </c>
      <c r="H39">
        <v>52</v>
      </c>
      <c r="I39">
        <v>356</v>
      </c>
      <c r="J39">
        <v>21.54</v>
      </c>
      <c r="K39">
        <v>9.02</v>
      </c>
      <c r="L39">
        <v>0.25769999999999998</v>
      </c>
      <c r="M39">
        <v>2.3E-3</v>
      </c>
      <c r="N39">
        <v>0.35959999999999998</v>
      </c>
      <c r="O39">
        <v>0.86270000000000002</v>
      </c>
      <c r="P39">
        <v>421.63</v>
      </c>
      <c r="Q39">
        <v>12861.55</v>
      </c>
      <c r="R39">
        <v>2.8</v>
      </c>
      <c r="S39">
        <v>81.12</v>
      </c>
      <c r="T39">
        <v>0.26529999999999998</v>
      </c>
      <c r="U39">
        <v>1.3621000000000001</v>
      </c>
      <c r="V39">
        <v>7.6356999999999999</v>
      </c>
      <c r="W39">
        <v>0.72860000000000003</v>
      </c>
      <c r="X39">
        <v>0.11269999999999999</v>
      </c>
      <c r="Y39">
        <v>1.3120000000000001</v>
      </c>
      <c r="Z39">
        <v>90</v>
      </c>
      <c r="AA39" s="2">
        <f t="shared" si="0"/>
        <v>1</v>
      </c>
      <c r="AB39">
        <v>91.8</v>
      </c>
      <c r="AC39" s="3">
        <v>1</v>
      </c>
    </row>
    <row r="40" spans="1:29" x14ac:dyDescent="0.3">
      <c r="A40" s="1">
        <f t="shared" si="1"/>
        <v>39</v>
      </c>
      <c r="B40">
        <v>1</v>
      </c>
      <c r="C40">
        <v>623.4</v>
      </c>
      <c r="D40">
        <v>101.3</v>
      </c>
      <c r="E40">
        <v>83.1</v>
      </c>
      <c r="F40">
        <v>80</v>
      </c>
      <c r="G40">
        <v>31</v>
      </c>
      <c r="H40">
        <v>46</v>
      </c>
      <c r="I40">
        <v>360</v>
      </c>
      <c r="J40">
        <v>25.31</v>
      </c>
      <c r="K40">
        <v>11.28</v>
      </c>
      <c r="L40">
        <v>0.2545</v>
      </c>
      <c r="M40">
        <v>3.0000000000000001E-3</v>
      </c>
      <c r="N40">
        <v>0.376</v>
      </c>
      <c r="O40">
        <v>0.87019999999999997</v>
      </c>
      <c r="P40">
        <v>410.24</v>
      </c>
      <c r="Q40">
        <v>6481.2</v>
      </c>
      <c r="R40">
        <v>3.31</v>
      </c>
      <c r="S40">
        <v>68.47</v>
      </c>
      <c r="T40">
        <v>0.27179999999999999</v>
      </c>
      <c r="U40">
        <v>1.0981000000000001</v>
      </c>
      <c r="V40">
        <v>5.3403</v>
      </c>
      <c r="W40">
        <v>0.66110000000000002</v>
      </c>
      <c r="X40">
        <v>0.1081</v>
      </c>
      <c r="Y40">
        <v>1.1396999999999999</v>
      </c>
      <c r="Z40">
        <v>93.5</v>
      </c>
      <c r="AA40" s="2">
        <f t="shared" si="0"/>
        <v>1</v>
      </c>
      <c r="AB40">
        <v>92.6</v>
      </c>
      <c r="AC40" s="3">
        <v>1</v>
      </c>
    </row>
    <row r="41" spans="1:29" x14ac:dyDescent="0.3">
      <c r="A41" s="1">
        <f t="shared" si="1"/>
        <v>40</v>
      </c>
      <c r="B41">
        <v>2</v>
      </c>
      <c r="C41">
        <v>662.4</v>
      </c>
      <c r="D41">
        <v>122.8</v>
      </c>
      <c r="E41">
        <v>90.1</v>
      </c>
      <c r="F41">
        <v>65</v>
      </c>
      <c r="G41">
        <v>34</v>
      </c>
      <c r="H41">
        <v>46</v>
      </c>
      <c r="I41">
        <v>360</v>
      </c>
      <c r="J41">
        <v>15.68</v>
      </c>
      <c r="K41">
        <v>7.72</v>
      </c>
      <c r="L41">
        <v>0.28179999999999999</v>
      </c>
      <c r="M41">
        <v>3.5999999999999999E-3</v>
      </c>
      <c r="N41">
        <v>0.33600000000000002</v>
      </c>
      <c r="O41">
        <v>0.86519999999999997</v>
      </c>
      <c r="P41">
        <v>419.53</v>
      </c>
      <c r="Q41">
        <v>14707.18</v>
      </c>
      <c r="R41">
        <v>2.25</v>
      </c>
      <c r="S41">
        <v>97.45</v>
      </c>
      <c r="T41">
        <v>0.22689999999999999</v>
      </c>
      <c r="U41">
        <v>1.6006</v>
      </c>
      <c r="V41">
        <v>5.4494999999999996</v>
      </c>
      <c r="W41">
        <v>0.81769999999999998</v>
      </c>
      <c r="X41">
        <v>0.14069999999999999</v>
      </c>
      <c r="Y41">
        <v>1.4194</v>
      </c>
      <c r="Z41">
        <v>86.8</v>
      </c>
      <c r="AA41" s="2">
        <f t="shared" si="0"/>
        <v>0</v>
      </c>
      <c r="AB41">
        <v>90</v>
      </c>
      <c r="AC41" s="3">
        <v>1</v>
      </c>
    </row>
    <row r="42" spans="1:29" x14ac:dyDescent="0.3">
      <c r="A42" s="1">
        <f t="shared" si="1"/>
        <v>41</v>
      </c>
      <c r="B42">
        <v>2</v>
      </c>
      <c r="C42">
        <v>854.9</v>
      </c>
      <c r="D42">
        <v>150.69999999999999</v>
      </c>
      <c r="E42">
        <v>203.4</v>
      </c>
      <c r="F42">
        <v>200</v>
      </c>
      <c r="G42">
        <v>25</v>
      </c>
      <c r="H42">
        <v>64</v>
      </c>
      <c r="I42">
        <v>538</v>
      </c>
      <c r="J42">
        <v>19.899999999999999</v>
      </c>
      <c r="K42">
        <v>7.89</v>
      </c>
      <c r="L42">
        <v>0.32779999999999998</v>
      </c>
      <c r="M42">
        <v>8.2000000000000007E-3</v>
      </c>
      <c r="N42">
        <v>0.58930000000000005</v>
      </c>
      <c r="O42">
        <v>0.74729999999999996</v>
      </c>
      <c r="P42">
        <v>412.46</v>
      </c>
      <c r="Q42">
        <v>12911.24</v>
      </c>
      <c r="R42">
        <v>3.22</v>
      </c>
      <c r="S42">
        <v>71.959999999999994</v>
      </c>
      <c r="T42">
        <v>0.14449999999999999</v>
      </c>
      <c r="U42">
        <v>1.7456</v>
      </c>
      <c r="V42">
        <v>16.2883</v>
      </c>
      <c r="W42">
        <v>0.88970000000000005</v>
      </c>
      <c r="X42">
        <v>0.13600000000000001</v>
      </c>
      <c r="Y42">
        <v>1.8844000000000001</v>
      </c>
      <c r="Z42">
        <v>85.3</v>
      </c>
      <c r="AA42" s="2">
        <f t="shared" si="0"/>
        <v>0</v>
      </c>
      <c r="AB42">
        <v>85.2</v>
      </c>
      <c r="AC42" s="3">
        <v>0</v>
      </c>
    </row>
    <row r="43" spans="1:29" x14ac:dyDescent="0.3">
      <c r="A43" s="1">
        <f t="shared" si="1"/>
        <v>42</v>
      </c>
      <c r="B43">
        <v>3</v>
      </c>
      <c r="C43">
        <v>1763.9</v>
      </c>
      <c r="D43">
        <v>308</v>
      </c>
      <c r="E43">
        <v>287.5</v>
      </c>
      <c r="F43">
        <v>340</v>
      </c>
      <c r="G43">
        <v>4</v>
      </c>
      <c r="H43">
        <v>38</v>
      </c>
      <c r="I43">
        <v>1064</v>
      </c>
      <c r="J43">
        <v>40.659999999999997</v>
      </c>
      <c r="K43">
        <v>17.8</v>
      </c>
      <c r="L43">
        <v>0.24299999999999999</v>
      </c>
      <c r="M43">
        <v>0</v>
      </c>
      <c r="N43">
        <v>0.53390000000000004</v>
      </c>
      <c r="O43">
        <v>0.61750000000000005</v>
      </c>
      <c r="P43">
        <v>405.23</v>
      </c>
      <c r="Q43">
        <v>4699.7299999999996</v>
      </c>
      <c r="R43">
        <v>3.09</v>
      </c>
      <c r="S43">
        <v>27.84</v>
      </c>
      <c r="T43">
        <v>0.17269999999999999</v>
      </c>
      <c r="U43">
        <v>1.1851</v>
      </c>
      <c r="V43">
        <v>11.875</v>
      </c>
      <c r="W43">
        <v>0.8498</v>
      </c>
      <c r="X43">
        <v>5.91E-2</v>
      </c>
      <c r="Y43">
        <v>1.8055000000000001</v>
      </c>
      <c r="Z43">
        <v>89.7</v>
      </c>
      <c r="AA43" s="2">
        <f t="shared" si="0"/>
        <v>0</v>
      </c>
      <c r="AB43">
        <v>85.5</v>
      </c>
      <c r="AC43" s="3">
        <v>0</v>
      </c>
    </row>
    <row r="44" spans="1:29" x14ac:dyDescent="0.3">
      <c r="A44" s="1">
        <f t="shared" si="1"/>
        <v>43</v>
      </c>
      <c r="B44">
        <v>1</v>
      </c>
      <c r="C44">
        <v>604.1</v>
      </c>
      <c r="D44">
        <v>169.4</v>
      </c>
      <c r="E44">
        <v>140.19999999999999</v>
      </c>
      <c r="F44">
        <v>145</v>
      </c>
      <c r="G44">
        <v>29</v>
      </c>
      <c r="H44">
        <v>57</v>
      </c>
      <c r="I44">
        <v>714</v>
      </c>
      <c r="J44">
        <v>23.88</v>
      </c>
      <c r="K44">
        <v>9.89</v>
      </c>
      <c r="L44">
        <v>0.27100000000000002</v>
      </c>
      <c r="M44">
        <v>7.6E-3</v>
      </c>
      <c r="N44">
        <v>0.53069999999999995</v>
      </c>
      <c r="O44">
        <v>0.87150000000000005</v>
      </c>
      <c r="P44">
        <v>314.77999999999997</v>
      </c>
      <c r="Q44">
        <v>4912.01</v>
      </c>
      <c r="R44">
        <v>3.83</v>
      </c>
      <c r="S44">
        <v>13.04</v>
      </c>
      <c r="T44">
        <v>0.20699999999999999</v>
      </c>
      <c r="U44">
        <v>1.0150999999999999</v>
      </c>
      <c r="V44">
        <v>8.4131</v>
      </c>
      <c r="W44">
        <v>0.81010000000000004</v>
      </c>
      <c r="X44">
        <v>0.1038</v>
      </c>
      <c r="Y44">
        <v>1.3858999999999999</v>
      </c>
      <c r="Z44">
        <v>97.3</v>
      </c>
      <c r="AA44" s="2">
        <f t="shared" si="0"/>
        <v>1</v>
      </c>
      <c r="AB44">
        <v>97.8</v>
      </c>
      <c r="AC44" s="3">
        <v>1</v>
      </c>
    </row>
    <row r="45" spans="1:29" x14ac:dyDescent="0.3">
      <c r="A45" s="1">
        <f t="shared" si="1"/>
        <v>44</v>
      </c>
      <c r="B45">
        <v>1</v>
      </c>
      <c r="C45">
        <v>783</v>
      </c>
      <c r="D45">
        <v>172.2</v>
      </c>
      <c r="E45">
        <v>250.2</v>
      </c>
      <c r="F45">
        <v>260</v>
      </c>
      <c r="G45">
        <v>16</v>
      </c>
      <c r="H45">
        <v>67</v>
      </c>
      <c r="I45">
        <v>714</v>
      </c>
      <c r="J45">
        <v>27.01</v>
      </c>
      <c r="K45">
        <v>9.8699999999999992</v>
      </c>
      <c r="L45">
        <v>0.28820000000000001</v>
      </c>
      <c r="M45">
        <v>6.8999999999999999E-3</v>
      </c>
      <c r="N45">
        <v>0.73260000000000003</v>
      </c>
      <c r="O45">
        <v>0.71050000000000002</v>
      </c>
      <c r="P45">
        <v>340.26</v>
      </c>
      <c r="Q45">
        <v>10018.76</v>
      </c>
      <c r="R45">
        <v>4.04</v>
      </c>
      <c r="S45">
        <v>35.01</v>
      </c>
      <c r="T45">
        <v>0.15640000000000001</v>
      </c>
      <c r="U45">
        <v>1.5396000000000001</v>
      </c>
      <c r="V45">
        <v>17.368200000000002</v>
      </c>
      <c r="W45">
        <v>0.86929999999999996</v>
      </c>
      <c r="X45">
        <v>0.11219999999999999</v>
      </c>
      <c r="Y45">
        <v>1.8551</v>
      </c>
      <c r="Z45">
        <v>96.8</v>
      </c>
      <c r="AA45" s="2">
        <f t="shared" si="0"/>
        <v>1</v>
      </c>
      <c r="AB45">
        <v>95.7</v>
      </c>
      <c r="AC45" s="3">
        <v>1</v>
      </c>
    </row>
    <row r="46" spans="1:29" x14ac:dyDescent="0.3">
      <c r="A46" s="1">
        <f t="shared" si="1"/>
        <v>45</v>
      </c>
      <c r="B46">
        <v>2</v>
      </c>
      <c r="C46">
        <v>691.6</v>
      </c>
      <c r="D46">
        <v>177</v>
      </c>
      <c r="E46">
        <v>250.7</v>
      </c>
      <c r="F46">
        <v>260</v>
      </c>
      <c r="G46">
        <v>16</v>
      </c>
      <c r="H46">
        <v>67</v>
      </c>
      <c r="I46">
        <v>714</v>
      </c>
      <c r="J46">
        <v>30.45</v>
      </c>
      <c r="K46">
        <v>12.05</v>
      </c>
      <c r="L46">
        <v>0.26619999999999999</v>
      </c>
      <c r="M46">
        <v>4.7999999999999996E-3</v>
      </c>
      <c r="N46">
        <v>0.6663</v>
      </c>
      <c r="O46">
        <v>0.70440000000000003</v>
      </c>
      <c r="P46">
        <v>364</v>
      </c>
      <c r="Q46">
        <v>12447.13</v>
      </c>
      <c r="R46">
        <v>3.76</v>
      </c>
      <c r="S46">
        <v>47.12</v>
      </c>
      <c r="T46">
        <v>0.17749999999999999</v>
      </c>
      <c r="U46">
        <v>1.5766</v>
      </c>
      <c r="V46">
        <v>15.9693</v>
      </c>
      <c r="W46">
        <v>0.85199999999999998</v>
      </c>
      <c r="X46">
        <v>0.1023</v>
      </c>
      <c r="Y46">
        <v>1.8367</v>
      </c>
      <c r="Z46">
        <v>97.5</v>
      </c>
      <c r="AA46" s="2">
        <f t="shared" si="0"/>
        <v>1</v>
      </c>
      <c r="AB46">
        <v>98.1</v>
      </c>
      <c r="AC46" s="3">
        <v>1</v>
      </c>
    </row>
    <row r="47" spans="1:29" x14ac:dyDescent="0.3">
      <c r="A47" s="1">
        <f t="shared" si="1"/>
        <v>46</v>
      </c>
      <c r="B47">
        <v>2</v>
      </c>
      <c r="C47">
        <v>572.29999999999995</v>
      </c>
      <c r="D47">
        <v>164.8</v>
      </c>
      <c r="E47">
        <v>117.8</v>
      </c>
      <c r="F47">
        <v>120</v>
      </c>
      <c r="G47">
        <v>33</v>
      </c>
      <c r="H47">
        <v>56</v>
      </c>
      <c r="I47">
        <v>714</v>
      </c>
      <c r="J47">
        <v>20.63</v>
      </c>
      <c r="K47">
        <v>9.3800000000000008</v>
      </c>
      <c r="L47">
        <v>0.28149999999999997</v>
      </c>
      <c r="M47">
        <v>2E-3</v>
      </c>
      <c r="N47">
        <v>0.5504</v>
      </c>
      <c r="O47">
        <v>0.92479999999999996</v>
      </c>
      <c r="P47">
        <v>312.88</v>
      </c>
      <c r="Q47">
        <v>8581.07</v>
      </c>
      <c r="R47">
        <v>4.09</v>
      </c>
      <c r="S47">
        <v>18.579999999999998</v>
      </c>
      <c r="T47">
        <v>0.2074</v>
      </c>
      <c r="U47">
        <v>1.2145999999999999</v>
      </c>
      <c r="V47">
        <v>7.7560000000000002</v>
      </c>
      <c r="W47">
        <v>0.88160000000000005</v>
      </c>
      <c r="X47">
        <v>0.1241</v>
      </c>
      <c r="Y47">
        <v>1.357</v>
      </c>
      <c r="Z47">
        <v>92.8</v>
      </c>
      <c r="AA47" s="2">
        <f t="shared" si="0"/>
        <v>1</v>
      </c>
      <c r="AB47">
        <v>90.7</v>
      </c>
      <c r="AC47" s="3">
        <v>1</v>
      </c>
    </row>
    <row r="48" spans="1:29" x14ac:dyDescent="0.3">
      <c r="A48" s="1">
        <f t="shared" si="1"/>
        <v>47</v>
      </c>
      <c r="B48">
        <v>2</v>
      </c>
      <c r="C48">
        <v>988.8</v>
      </c>
      <c r="D48">
        <v>181.9</v>
      </c>
      <c r="E48">
        <v>202.5</v>
      </c>
      <c r="F48">
        <v>220</v>
      </c>
      <c r="G48">
        <v>13</v>
      </c>
      <c r="H48">
        <v>56</v>
      </c>
      <c r="I48">
        <v>714</v>
      </c>
      <c r="J48">
        <v>19.510000000000002</v>
      </c>
      <c r="K48">
        <v>7.17</v>
      </c>
      <c r="L48">
        <v>0.33050000000000002</v>
      </c>
      <c r="M48">
        <v>7.1999999999999998E-3</v>
      </c>
      <c r="N48">
        <v>0.65</v>
      </c>
      <c r="O48">
        <v>0.74219999999999997</v>
      </c>
      <c r="P48">
        <v>403.91</v>
      </c>
      <c r="Q48">
        <v>13148.46</v>
      </c>
      <c r="R48">
        <v>3.67</v>
      </c>
      <c r="S48">
        <v>48.24</v>
      </c>
      <c r="T48">
        <v>0.14069999999999999</v>
      </c>
      <c r="U48">
        <v>1.6503000000000001</v>
      </c>
      <c r="V48">
        <v>15.574999999999999</v>
      </c>
      <c r="W48">
        <v>0.89580000000000004</v>
      </c>
      <c r="X48">
        <v>0.12720000000000001</v>
      </c>
      <c r="Y48">
        <v>1.8385</v>
      </c>
      <c r="AA48" s="2">
        <f t="shared" si="0"/>
        <v>0</v>
      </c>
      <c r="AC48" s="3">
        <v>0</v>
      </c>
    </row>
    <row r="49" spans="1:29" x14ac:dyDescent="0.3">
      <c r="A49" s="1">
        <f t="shared" si="1"/>
        <v>48</v>
      </c>
      <c r="B49">
        <v>1</v>
      </c>
      <c r="C49">
        <v>658.6</v>
      </c>
      <c r="D49">
        <v>162.4</v>
      </c>
      <c r="E49">
        <v>163.1</v>
      </c>
      <c r="F49">
        <v>185</v>
      </c>
      <c r="G49">
        <v>22</v>
      </c>
      <c r="H49">
        <v>58</v>
      </c>
      <c r="I49">
        <v>714</v>
      </c>
      <c r="J49">
        <v>23.61</v>
      </c>
      <c r="K49">
        <v>8.08</v>
      </c>
      <c r="L49">
        <v>0.29970000000000002</v>
      </c>
      <c r="M49">
        <v>6.1999999999999998E-3</v>
      </c>
      <c r="N49">
        <v>0.71160000000000001</v>
      </c>
      <c r="O49">
        <v>0.81169999999999998</v>
      </c>
      <c r="P49">
        <v>331.61</v>
      </c>
      <c r="Q49">
        <v>8951.68</v>
      </c>
      <c r="R49">
        <v>4.26</v>
      </c>
      <c r="S49">
        <v>16.18</v>
      </c>
      <c r="T49">
        <v>0.1797</v>
      </c>
      <c r="U49">
        <v>1.37</v>
      </c>
      <c r="V49">
        <v>12.769</v>
      </c>
      <c r="W49">
        <v>0.81599999999999995</v>
      </c>
      <c r="X49">
        <v>0.1144</v>
      </c>
      <c r="Y49">
        <v>1.7296</v>
      </c>
      <c r="Z49">
        <v>96.4</v>
      </c>
      <c r="AA49" s="2">
        <f t="shared" si="0"/>
        <v>1</v>
      </c>
      <c r="AB49">
        <v>94.6</v>
      </c>
      <c r="AC49" s="3">
        <v>1</v>
      </c>
    </row>
    <row r="50" spans="1:29" x14ac:dyDescent="0.3">
      <c r="A50" s="1">
        <f t="shared" si="1"/>
        <v>49</v>
      </c>
      <c r="B50">
        <v>1</v>
      </c>
      <c r="C50">
        <v>571.9</v>
      </c>
      <c r="D50">
        <v>115.8</v>
      </c>
      <c r="E50">
        <v>149.4</v>
      </c>
      <c r="F50">
        <v>155</v>
      </c>
      <c r="G50">
        <v>33</v>
      </c>
      <c r="H50">
        <v>63</v>
      </c>
      <c r="I50">
        <v>446</v>
      </c>
      <c r="J50">
        <v>23.01</v>
      </c>
      <c r="K50">
        <v>9.3699999999999992</v>
      </c>
      <c r="L50">
        <v>0.28849999999999998</v>
      </c>
      <c r="M50">
        <v>4.7999999999999996E-3</v>
      </c>
      <c r="N50">
        <v>0.58360000000000001</v>
      </c>
      <c r="O50">
        <v>0.72519999999999996</v>
      </c>
      <c r="P50">
        <v>374.6</v>
      </c>
      <c r="Q50">
        <v>8503.99</v>
      </c>
      <c r="R50">
        <v>3.75</v>
      </c>
      <c r="S50">
        <v>53.59</v>
      </c>
      <c r="T50">
        <v>0.16769999999999999</v>
      </c>
      <c r="U50">
        <v>1.3878999999999999</v>
      </c>
      <c r="V50">
        <v>8.7832000000000008</v>
      </c>
      <c r="W50">
        <v>0.9103</v>
      </c>
      <c r="X50">
        <v>0.11360000000000001</v>
      </c>
      <c r="Y50">
        <v>1.6383000000000001</v>
      </c>
      <c r="Z50">
        <v>91.6</v>
      </c>
      <c r="AA50" s="2">
        <f t="shared" si="0"/>
        <v>1</v>
      </c>
      <c r="AB50">
        <v>94.8</v>
      </c>
      <c r="AC50" s="3">
        <v>1</v>
      </c>
    </row>
    <row r="51" spans="1:29" x14ac:dyDescent="0.3">
      <c r="A51" s="1">
        <f t="shared" si="1"/>
        <v>50</v>
      </c>
      <c r="B51">
        <v>1</v>
      </c>
      <c r="C51">
        <v>913.8</v>
      </c>
      <c r="D51">
        <v>182.2</v>
      </c>
      <c r="E51">
        <v>186.3</v>
      </c>
      <c r="F51">
        <v>200</v>
      </c>
      <c r="G51">
        <v>24</v>
      </c>
      <c r="H51">
        <v>63</v>
      </c>
      <c r="I51">
        <v>714</v>
      </c>
      <c r="J51">
        <v>20.7</v>
      </c>
      <c r="K51">
        <v>7.03</v>
      </c>
      <c r="L51">
        <v>0.31759999999999999</v>
      </c>
      <c r="M51">
        <v>0.01</v>
      </c>
      <c r="N51">
        <v>0.626</v>
      </c>
      <c r="O51">
        <v>0.77480000000000004</v>
      </c>
      <c r="P51">
        <v>372.33</v>
      </c>
      <c r="Q51">
        <v>10065.81</v>
      </c>
      <c r="R51">
        <v>3.62</v>
      </c>
      <c r="S51">
        <v>42.77</v>
      </c>
      <c r="T51">
        <v>0.15</v>
      </c>
      <c r="U51">
        <v>1.5206999999999999</v>
      </c>
      <c r="V51">
        <v>14.7376</v>
      </c>
      <c r="W51">
        <v>0.87090000000000001</v>
      </c>
      <c r="X51">
        <v>0.1205</v>
      </c>
      <c r="Y51">
        <v>1.8056000000000001</v>
      </c>
      <c r="Z51">
        <v>93.7</v>
      </c>
      <c r="AA51" s="2">
        <f t="shared" si="0"/>
        <v>1</v>
      </c>
      <c r="AB51">
        <v>94.5</v>
      </c>
      <c r="AC51" s="3">
        <v>1</v>
      </c>
    </row>
    <row r="52" spans="1:29" x14ac:dyDescent="0.3">
      <c r="A52" s="1">
        <f t="shared" si="1"/>
        <v>51</v>
      </c>
      <c r="B52">
        <v>1</v>
      </c>
      <c r="C52">
        <v>749.5</v>
      </c>
      <c r="D52">
        <v>172.1</v>
      </c>
      <c r="E52">
        <v>235.6</v>
      </c>
      <c r="F52">
        <v>240</v>
      </c>
      <c r="G52">
        <v>16</v>
      </c>
      <c r="H52">
        <v>63</v>
      </c>
      <c r="I52">
        <v>714</v>
      </c>
      <c r="J52">
        <v>26.68</v>
      </c>
      <c r="K52">
        <v>10.119999999999999</v>
      </c>
      <c r="L52">
        <v>0.308</v>
      </c>
      <c r="M52">
        <v>6.7999999999999996E-3</v>
      </c>
      <c r="N52">
        <v>0.67349999999999999</v>
      </c>
      <c r="O52">
        <v>0.76249999999999996</v>
      </c>
      <c r="P52">
        <v>329.53</v>
      </c>
      <c r="Q52">
        <v>7176.38</v>
      </c>
      <c r="R52">
        <v>3.96</v>
      </c>
      <c r="S52">
        <v>29.81</v>
      </c>
      <c r="T52">
        <v>0.14149999999999999</v>
      </c>
      <c r="U52">
        <v>1.3157000000000001</v>
      </c>
      <c r="V52">
        <v>15.0731</v>
      </c>
      <c r="W52">
        <v>0.88339999999999996</v>
      </c>
      <c r="X52">
        <v>0.1173</v>
      </c>
      <c r="Y52">
        <v>1.7423</v>
      </c>
      <c r="Z52">
        <v>91.5</v>
      </c>
      <c r="AA52" s="2">
        <f t="shared" si="0"/>
        <v>1</v>
      </c>
      <c r="AB52">
        <v>91.8</v>
      </c>
      <c r="AC52" s="3">
        <v>1</v>
      </c>
    </row>
    <row r="53" spans="1:29" x14ac:dyDescent="0.3">
      <c r="A53" s="1">
        <f t="shared" si="1"/>
        <v>52</v>
      </c>
      <c r="B53">
        <v>1</v>
      </c>
      <c r="C53">
        <v>1313.6</v>
      </c>
      <c r="D53">
        <v>206.3</v>
      </c>
      <c r="E53">
        <v>214.5</v>
      </c>
      <c r="F53">
        <v>215</v>
      </c>
      <c r="G53">
        <v>19</v>
      </c>
      <c r="H53">
        <v>61</v>
      </c>
      <c r="I53">
        <v>508</v>
      </c>
      <c r="J53">
        <v>39.369999999999997</v>
      </c>
      <c r="K53">
        <v>22.5</v>
      </c>
      <c r="L53">
        <v>0.2097</v>
      </c>
      <c r="M53">
        <v>6.1999999999999998E-3</v>
      </c>
      <c r="N53">
        <v>0.38159999999999999</v>
      </c>
      <c r="O53">
        <v>0.57230000000000003</v>
      </c>
      <c r="P53">
        <v>426.37</v>
      </c>
      <c r="Q53">
        <v>4054.05</v>
      </c>
      <c r="R53">
        <v>2.09</v>
      </c>
      <c r="S53">
        <v>44.93</v>
      </c>
      <c r="T53">
        <v>0.21829999999999999</v>
      </c>
      <c r="U53">
        <v>1.2188000000000001</v>
      </c>
      <c r="V53">
        <v>9.2967999999999993</v>
      </c>
      <c r="W53">
        <v>0.84019999999999995</v>
      </c>
      <c r="X53">
        <v>8.5300000000000001E-2</v>
      </c>
      <c r="Y53">
        <v>1.8252999999999999</v>
      </c>
      <c r="Z53">
        <v>94.5</v>
      </c>
      <c r="AA53" s="2">
        <f t="shared" si="0"/>
        <v>1</v>
      </c>
      <c r="AB53">
        <v>95.7</v>
      </c>
      <c r="AC53" s="3">
        <v>1</v>
      </c>
    </row>
    <row r="54" spans="1:29" x14ac:dyDescent="0.3">
      <c r="A54" s="1">
        <f t="shared" si="1"/>
        <v>53</v>
      </c>
      <c r="B54">
        <v>2</v>
      </c>
      <c r="C54">
        <v>832.9</v>
      </c>
      <c r="D54">
        <v>249.8</v>
      </c>
      <c r="E54">
        <v>191</v>
      </c>
      <c r="F54">
        <v>200</v>
      </c>
      <c r="G54">
        <v>19</v>
      </c>
      <c r="H54">
        <v>59</v>
      </c>
      <c r="I54">
        <v>1064</v>
      </c>
      <c r="J54">
        <v>20.48</v>
      </c>
      <c r="K54">
        <v>6.95</v>
      </c>
      <c r="L54">
        <v>0.31759999999999999</v>
      </c>
      <c r="M54">
        <v>1.04E-2</v>
      </c>
      <c r="N54">
        <v>0.65820000000000001</v>
      </c>
      <c r="O54">
        <v>0.82830000000000004</v>
      </c>
      <c r="P54">
        <v>345.79</v>
      </c>
      <c r="Q54">
        <v>10494.42</v>
      </c>
      <c r="R54">
        <v>3.97</v>
      </c>
      <c r="S54">
        <v>25.89</v>
      </c>
      <c r="T54">
        <v>0.14560000000000001</v>
      </c>
      <c r="U54">
        <v>1.4177999999999999</v>
      </c>
      <c r="V54">
        <v>13.4315</v>
      </c>
      <c r="W54">
        <v>0.88700000000000001</v>
      </c>
      <c r="X54">
        <v>0.122</v>
      </c>
      <c r="Y54">
        <v>1.7262</v>
      </c>
      <c r="Z54">
        <v>87.8</v>
      </c>
      <c r="AA54" s="2">
        <f t="shared" si="0"/>
        <v>0</v>
      </c>
      <c r="AB54">
        <v>85</v>
      </c>
      <c r="AC54" s="3">
        <v>0</v>
      </c>
    </row>
    <row r="55" spans="1:29" x14ac:dyDescent="0.3">
      <c r="A55" s="1">
        <f t="shared" si="1"/>
        <v>54</v>
      </c>
      <c r="B55">
        <v>2</v>
      </c>
      <c r="C55">
        <v>770.7</v>
      </c>
      <c r="D55">
        <v>243.4</v>
      </c>
      <c r="E55">
        <v>186</v>
      </c>
      <c r="F55">
        <v>210</v>
      </c>
      <c r="G55">
        <v>21</v>
      </c>
      <c r="H55">
        <v>63</v>
      </c>
      <c r="I55">
        <v>1064</v>
      </c>
      <c r="J55">
        <v>25.28</v>
      </c>
      <c r="K55">
        <v>10.08</v>
      </c>
      <c r="L55">
        <v>0.29210000000000003</v>
      </c>
      <c r="M55">
        <v>8.8000000000000005E-3</v>
      </c>
      <c r="N55">
        <v>0.79990000000000006</v>
      </c>
      <c r="O55">
        <v>0.80789999999999995</v>
      </c>
      <c r="P55">
        <v>300.70999999999998</v>
      </c>
      <c r="Q55">
        <v>7915.59</v>
      </c>
      <c r="R55">
        <v>4.1500000000000004</v>
      </c>
      <c r="S55">
        <v>14.05</v>
      </c>
      <c r="T55">
        <v>0.158</v>
      </c>
      <c r="U55">
        <v>1.3426</v>
      </c>
      <c r="V55">
        <v>13.2005</v>
      </c>
      <c r="W55">
        <v>0.86990000000000001</v>
      </c>
      <c r="X55">
        <v>0.1115</v>
      </c>
      <c r="Y55">
        <v>2.0322</v>
      </c>
      <c r="Z55">
        <v>95.8</v>
      </c>
      <c r="AA55" s="2">
        <f t="shared" si="0"/>
        <v>1</v>
      </c>
      <c r="AB55">
        <v>91.5</v>
      </c>
      <c r="AC55" s="3">
        <v>1</v>
      </c>
    </row>
    <row r="56" spans="1:29" x14ac:dyDescent="0.3">
      <c r="A56" s="1">
        <f t="shared" si="1"/>
        <v>55</v>
      </c>
      <c r="B56">
        <v>2</v>
      </c>
      <c r="C56">
        <v>970.1</v>
      </c>
      <c r="D56">
        <v>267.8</v>
      </c>
      <c r="E56">
        <v>188.7</v>
      </c>
      <c r="F56">
        <v>245</v>
      </c>
      <c r="G56">
        <v>15</v>
      </c>
      <c r="H56">
        <v>63</v>
      </c>
      <c r="I56">
        <v>1064</v>
      </c>
      <c r="J56">
        <v>22.88</v>
      </c>
      <c r="K56">
        <v>6.93</v>
      </c>
      <c r="L56">
        <v>0.30230000000000001</v>
      </c>
      <c r="M56">
        <v>1.24E-2</v>
      </c>
      <c r="N56">
        <v>0.61539999999999995</v>
      </c>
      <c r="O56">
        <v>0.76229999999999998</v>
      </c>
      <c r="P56">
        <v>359.18</v>
      </c>
      <c r="Q56">
        <v>10586.15</v>
      </c>
      <c r="R56">
        <v>3.53</v>
      </c>
      <c r="S56">
        <v>38.08</v>
      </c>
      <c r="T56">
        <v>0.13950000000000001</v>
      </c>
      <c r="U56">
        <v>1.4226000000000001</v>
      </c>
      <c r="V56">
        <v>15.1432</v>
      </c>
      <c r="W56">
        <v>0.87880000000000003</v>
      </c>
      <c r="X56">
        <v>0.1143</v>
      </c>
      <c r="Y56">
        <v>1.8791</v>
      </c>
      <c r="Z56">
        <v>91</v>
      </c>
      <c r="AA56" s="2">
        <f t="shared" si="0"/>
        <v>1</v>
      </c>
      <c r="AB56">
        <v>85.6</v>
      </c>
      <c r="AC56" s="3">
        <v>0</v>
      </c>
    </row>
    <row r="57" spans="1:29" x14ac:dyDescent="0.3">
      <c r="A57" s="1">
        <f t="shared" si="1"/>
        <v>56</v>
      </c>
      <c r="B57">
        <v>2</v>
      </c>
      <c r="C57">
        <v>873.1</v>
      </c>
      <c r="D57">
        <v>328.6</v>
      </c>
      <c r="E57">
        <v>203.9</v>
      </c>
      <c r="F57">
        <v>210</v>
      </c>
      <c r="G57">
        <v>17</v>
      </c>
      <c r="H57">
        <v>63</v>
      </c>
      <c r="I57">
        <v>962</v>
      </c>
      <c r="J57">
        <v>22.02</v>
      </c>
      <c r="K57">
        <v>7.72</v>
      </c>
      <c r="L57">
        <v>0.33850000000000002</v>
      </c>
      <c r="M57">
        <v>9.7999999999999997E-3</v>
      </c>
      <c r="N57">
        <v>0.85229999999999995</v>
      </c>
      <c r="O57">
        <v>1.1314</v>
      </c>
      <c r="P57">
        <v>254.32</v>
      </c>
      <c r="Q57">
        <v>7588.19</v>
      </c>
      <c r="R57">
        <v>2.78</v>
      </c>
      <c r="S57">
        <v>62.56</v>
      </c>
      <c r="T57">
        <v>0.12130000000000001</v>
      </c>
      <c r="U57">
        <v>0.9768</v>
      </c>
      <c r="V57">
        <v>15.832700000000001</v>
      </c>
      <c r="W57">
        <v>0.90259999999999996</v>
      </c>
      <c r="X57">
        <v>0.13830000000000001</v>
      </c>
      <c r="Y57">
        <v>3.1052</v>
      </c>
      <c r="Z57">
        <v>88.1</v>
      </c>
      <c r="AA57" s="2">
        <f t="shared" si="0"/>
        <v>0</v>
      </c>
      <c r="AB57">
        <v>87</v>
      </c>
      <c r="AC57" s="3">
        <v>0</v>
      </c>
    </row>
    <row r="58" spans="1:29" x14ac:dyDescent="0.3">
      <c r="A58" s="1">
        <f t="shared" si="1"/>
        <v>57</v>
      </c>
      <c r="B58">
        <v>2</v>
      </c>
      <c r="C58">
        <v>870.1</v>
      </c>
      <c r="D58">
        <v>251.9</v>
      </c>
      <c r="E58">
        <v>188.7</v>
      </c>
      <c r="F58">
        <v>220</v>
      </c>
      <c r="G58">
        <v>18</v>
      </c>
      <c r="H58">
        <v>61</v>
      </c>
      <c r="I58">
        <v>1064</v>
      </c>
      <c r="J58">
        <v>23.19</v>
      </c>
      <c r="K58">
        <v>8.14</v>
      </c>
      <c r="L58">
        <v>0.29959999999999998</v>
      </c>
      <c r="M58">
        <v>8.2000000000000007E-3</v>
      </c>
      <c r="N58">
        <v>0.62119999999999997</v>
      </c>
      <c r="O58">
        <v>0.8407</v>
      </c>
      <c r="P58">
        <v>345.26</v>
      </c>
      <c r="Q58">
        <v>9864.2000000000007</v>
      </c>
      <c r="R58">
        <v>3.9</v>
      </c>
      <c r="S58">
        <v>22.53</v>
      </c>
      <c r="T58">
        <v>0.15010000000000001</v>
      </c>
      <c r="U58">
        <v>1.3143</v>
      </c>
      <c r="V58">
        <v>13.683999999999999</v>
      </c>
      <c r="W58">
        <v>0.86970000000000003</v>
      </c>
      <c r="X58">
        <v>0.1162</v>
      </c>
      <c r="Y58">
        <v>1.6821999999999999</v>
      </c>
      <c r="Z58">
        <v>96</v>
      </c>
      <c r="AA58" s="2">
        <f t="shared" si="0"/>
        <v>1</v>
      </c>
      <c r="AB58">
        <v>97.5</v>
      </c>
      <c r="AC58" s="3">
        <v>1</v>
      </c>
    </row>
    <row r="59" spans="1:29" x14ac:dyDescent="0.3">
      <c r="A59" s="1">
        <f t="shared" si="1"/>
        <v>58</v>
      </c>
      <c r="B59">
        <v>2</v>
      </c>
      <c r="C59">
        <v>650</v>
      </c>
      <c r="D59">
        <v>233</v>
      </c>
      <c r="E59">
        <v>179.9</v>
      </c>
      <c r="F59">
        <v>220</v>
      </c>
      <c r="G59">
        <v>16</v>
      </c>
      <c r="H59">
        <v>59</v>
      </c>
      <c r="I59">
        <v>712</v>
      </c>
      <c r="J59">
        <v>21.87</v>
      </c>
      <c r="K59">
        <v>8.3699999999999992</v>
      </c>
      <c r="L59">
        <v>0.307</v>
      </c>
      <c r="M59">
        <v>7.0000000000000001E-3</v>
      </c>
      <c r="N59">
        <v>0.751</v>
      </c>
      <c r="O59">
        <v>1.0417000000000001</v>
      </c>
      <c r="P59">
        <v>285.08</v>
      </c>
      <c r="Q59">
        <v>9570.6200000000008</v>
      </c>
      <c r="R59">
        <v>2.78</v>
      </c>
      <c r="S59">
        <v>49.82</v>
      </c>
      <c r="T59">
        <v>0.1552</v>
      </c>
      <c r="U59">
        <v>1.0793999999999999</v>
      </c>
      <c r="V59">
        <v>16.2502</v>
      </c>
      <c r="W59">
        <v>0.85829999999999995</v>
      </c>
      <c r="X59">
        <v>0.12470000000000001</v>
      </c>
      <c r="Y59">
        <v>2.7624</v>
      </c>
      <c r="Z59">
        <v>77.400000000000006</v>
      </c>
      <c r="AA59" s="2">
        <f t="shared" si="0"/>
        <v>0</v>
      </c>
      <c r="AB59">
        <v>77.2</v>
      </c>
      <c r="AC59" s="3">
        <v>0</v>
      </c>
    </row>
    <row r="60" spans="1:29" x14ac:dyDescent="0.3">
      <c r="A60" s="1">
        <f t="shared" si="1"/>
        <v>59</v>
      </c>
      <c r="B60">
        <v>3</v>
      </c>
      <c r="C60">
        <v>420.1</v>
      </c>
      <c r="D60">
        <v>83.7</v>
      </c>
      <c r="E60">
        <v>148.9</v>
      </c>
      <c r="F60">
        <v>140</v>
      </c>
      <c r="G60">
        <v>12</v>
      </c>
      <c r="H60">
        <v>25</v>
      </c>
      <c r="I60">
        <v>356</v>
      </c>
      <c r="J60">
        <v>40.03</v>
      </c>
      <c r="K60">
        <v>24.97</v>
      </c>
      <c r="L60">
        <v>0.2049</v>
      </c>
      <c r="M60">
        <v>0</v>
      </c>
      <c r="N60">
        <v>0.4471</v>
      </c>
      <c r="O60">
        <v>0.8085</v>
      </c>
      <c r="P60">
        <v>385.77</v>
      </c>
      <c r="Q60">
        <v>6732.1</v>
      </c>
      <c r="R60">
        <v>4.0999999999999996</v>
      </c>
      <c r="S60">
        <v>19.5</v>
      </c>
      <c r="T60">
        <v>0.2999</v>
      </c>
      <c r="U60">
        <v>1.0076000000000001</v>
      </c>
      <c r="V60">
        <v>3.7589000000000001</v>
      </c>
      <c r="W60">
        <v>0.69259999999999999</v>
      </c>
      <c r="X60">
        <v>4.82E-2</v>
      </c>
      <c r="Y60">
        <v>1.1656</v>
      </c>
      <c r="Z60">
        <v>96.4</v>
      </c>
      <c r="AA60" s="2">
        <f t="shared" si="0"/>
        <v>1</v>
      </c>
      <c r="AB60">
        <v>97.9</v>
      </c>
      <c r="AC60" s="3">
        <v>1</v>
      </c>
    </row>
    <row r="61" spans="1:29" x14ac:dyDescent="0.3">
      <c r="A61" s="1">
        <f t="shared" si="1"/>
        <v>60</v>
      </c>
      <c r="B61">
        <v>3</v>
      </c>
      <c r="C61">
        <v>600</v>
      </c>
      <c r="D61">
        <v>163.69999999999999</v>
      </c>
      <c r="E61">
        <v>204</v>
      </c>
      <c r="F61">
        <v>180</v>
      </c>
      <c r="G61">
        <v>11</v>
      </c>
      <c r="H61">
        <v>28</v>
      </c>
      <c r="I61">
        <v>712</v>
      </c>
      <c r="J61">
        <v>38.590000000000003</v>
      </c>
      <c r="K61">
        <v>19.260000000000002</v>
      </c>
      <c r="L61">
        <v>0.22040000000000001</v>
      </c>
      <c r="M61">
        <v>0</v>
      </c>
      <c r="N61">
        <v>0.63360000000000005</v>
      </c>
      <c r="O61">
        <v>0.74039999999999995</v>
      </c>
      <c r="P61">
        <v>317.20999999999998</v>
      </c>
      <c r="Q61">
        <v>7696.49</v>
      </c>
      <c r="R61">
        <v>4.13</v>
      </c>
      <c r="S61">
        <v>19.47</v>
      </c>
      <c r="T61">
        <v>0.26179999999999998</v>
      </c>
      <c r="U61">
        <v>1.2253000000000001</v>
      </c>
      <c r="V61">
        <v>5.7480000000000002</v>
      </c>
      <c r="W61">
        <v>0.78539999999999999</v>
      </c>
      <c r="X61">
        <v>5.2999999999999999E-2</v>
      </c>
      <c r="Y61">
        <v>1.5004999999999999</v>
      </c>
      <c r="Z61">
        <v>95.2</v>
      </c>
      <c r="AA61" s="2">
        <f t="shared" si="0"/>
        <v>1</v>
      </c>
      <c r="AB61">
        <v>95.7</v>
      </c>
      <c r="AC61" s="3">
        <v>1</v>
      </c>
    </row>
    <row r="62" spans="1:29" x14ac:dyDescent="0.3">
      <c r="A62" s="1">
        <f t="shared" si="1"/>
        <v>61</v>
      </c>
      <c r="B62">
        <v>3</v>
      </c>
      <c r="C62">
        <v>358.6</v>
      </c>
      <c r="D62">
        <v>96.7</v>
      </c>
      <c r="E62">
        <v>85</v>
      </c>
      <c r="F62">
        <v>95</v>
      </c>
      <c r="G62">
        <v>16</v>
      </c>
      <c r="H62">
        <v>25</v>
      </c>
      <c r="I62">
        <v>416</v>
      </c>
      <c r="J62">
        <v>28.83</v>
      </c>
      <c r="K62">
        <v>18.11</v>
      </c>
      <c r="L62">
        <v>0.2268</v>
      </c>
      <c r="M62">
        <v>0</v>
      </c>
      <c r="N62">
        <v>0.35449999999999998</v>
      </c>
      <c r="O62">
        <v>1.3109999999999999</v>
      </c>
      <c r="P62">
        <v>300.58999999999997</v>
      </c>
      <c r="Q62">
        <v>5374.11</v>
      </c>
      <c r="R62">
        <v>4.1500000000000004</v>
      </c>
      <c r="S62">
        <v>16.579999999999998</v>
      </c>
      <c r="T62">
        <v>0.29880000000000001</v>
      </c>
      <c r="U62">
        <v>0.78190000000000004</v>
      </c>
      <c r="V62">
        <v>3.6919</v>
      </c>
      <c r="W62">
        <v>0.57869999999999999</v>
      </c>
      <c r="X62">
        <v>5.7299999999999997E-2</v>
      </c>
      <c r="Y62">
        <v>0.95220000000000005</v>
      </c>
      <c r="Z62">
        <v>95</v>
      </c>
      <c r="AA62" s="2">
        <f t="shared" si="0"/>
        <v>1</v>
      </c>
      <c r="AB62">
        <v>96.4</v>
      </c>
      <c r="AC62" s="3">
        <v>1</v>
      </c>
    </row>
    <row r="63" spans="1:29" x14ac:dyDescent="0.3">
      <c r="A63" s="1">
        <f t="shared" si="1"/>
        <v>62</v>
      </c>
      <c r="B63">
        <v>1</v>
      </c>
      <c r="C63">
        <v>430.3</v>
      </c>
      <c r="D63">
        <v>97.5</v>
      </c>
      <c r="E63">
        <v>116.2</v>
      </c>
      <c r="F63">
        <v>125</v>
      </c>
      <c r="G63">
        <v>21</v>
      </c>
      <c r="H63">
        <v>45</v>
      </c>
      <c r="I63">
        <v>386</v>
      </c>
      <c r="J63">
        <v>21.81</v>
      </c>
      <c r="K63">
        <v>11.63</v>
      </c>
      <c r="L63">
        <v>0.2445</v>
      </c>
      <c r="M63">
        <v>8.5000000000000006E-3</v>
      </c>
      <c r="N63">
        <v>0.46129999999999999</v>
      </c>
      <c r="O63">
        <v>0.94079999999999997</v>
      </c>
      <c r="P63">
        <v>372.16</v>
      </c>
      <c r="Q63">
        <v>2259.1</v>
      </c>
      <c r="R63">
        <v>3.53</v>
      </c>
      <c r="S63">
        <v>14.06</v>
      </c>
      <c r="T63">
        <v>0.2414</v>
      </c>
      <c r="U63">
        <v>0.90669999999999995</v>
      </c>
      <c r="V63">
        <v>7.6162999999999998</v>
      </c>
      <c r="W63">
        <v>0.78280000000000005</v>
      </c>
      <c r="X63">
        <v>0.10349999999999999</v>
      </c>
      <c r="Y63">
        <v>1.4104000000000001</v>
      </c>
      <c r="Z63">
        <v>92.4</v>
      </c>
      <c r="AA63" s="2">
        <f t="shared" si="0"/>
        <v>1</v>
      </c>
      <c r="AB63">
        <v>96.2</v>
      </c>
      <c r="AC63" s="3">
        <v>1</v>
      </c>
    </row>
    <row r="64" spans="1:29" x14ac:dyDescent="0.3">
      <c r="A64" s="1">
        <f t="shared" si="1"/>
        <v>63</v>
      </c>
      <c r="B64">
        <v>5</v>
      </c>
      <c r="C64">
        <v>1091</v>
      </c>
      <c r="D64">
        <v>263</v>
      </c>
      <c r="E64">
        <v>174.8</v>
      </c>
      <c r="F64">
        <v>230</v>
      </c>
      <c r="G64">
        <v>10</v>
      </c>
      <c r="H64">
        <v>52</v>
      </c>
      <c r="I64">
        <v>1067</v>
      </c>
      <c r="J64">
        <v>14.37</v>
      </c>
      <c r="K64">
        <v>1.08</v>
      </c>
      <c r="L64">
        <v>0.39450000000000002</v>
      </c>
      <c r="M64">
        <v>8.6E-3</v>
      </c>
      <c r="N64">
        <v>0.6472</v>
      </c>
      <c r="O64">
        <v>0.92449999999999999</v>
      </c>
      <c r="P64">
        <v>371.68</v>
      </c>
      <c r="Q64">
        <v>8367.44</v>
      </c>
      <c r="R64">
        <v>3.64</v>
      </c>
      <c r="S64">
        <v>28.41</v>
      </c>
      <c r="T64">
        <v>0.1239</v>
      </c>
      <c r="U64">
        <v>1.4247000000000001</v>
      </c>
      <c r="V64">
        <v>18.808299999999999</v>
      </c>
      <c r="W64">
        <v>0.90859999999999996</v>
      </c>
      <c r="X64">
        <v>0.125</v>
      </c>
      <c r="Y64">
        <v>1.8151999999999999</v>
      </c>
      <c r="Z64">
        <v>95.9</v>
      </c>
      <c r="AA64" s="2">
        <f t="shared" si="0"/>
        <v>1</v>
      </c>
      <c r="AB64">
        <v>93</v>
      </c>
      <c r="AC64" s="3">
        <v>1</v>
      </c>
    </row>
    <row r="65" spans="1:29" x14ac:dyDescent="0.3">
      <c r="A65" s="1">
        <f t="shared" si="1"/>
        <v>64</v>
      </c>
      <c r="B65">
        <v>2</v>
      </c>
      <c r="C65">
        <v>1049.0999999999999</v>
      </c>
      <c r="D65">
        <v>223.9</v>
      </c>
      <c r="E65">
        <v>187.9</v>
      </c>
      <c r="F65">
        <v>200</v>
      </c>
      <c r="G65">
        <v>25</v>
      </c>
      <c r="H65">
        <v>64</v>
      </c>
      <c r="I65">
        <v>446</v>
      </c>
      <c r="J65">
        <v>26.89</v>
      </c>
      <c r="K65">
        <v>10.01</v>
      </c>
      <c r="L65">
        <v>0.26540000000000002</v>
      </c>
      <c r="M65">
        <v>6.1000000000000004E-3</v>
      </c>
      <c r="N65">
        <v>0.47839999999999999</v>
      </c>
      <c r="O65">
        <v>0.61650000000000005</v>
      </c>
      <c r="P65">
        <v>382.66</v>
      </c>
      <c r="Q65">
        <v>9485.66</v>
      </c>
      <c r="R65">
        <v>1.72</v>
      </c>
      <c r="S65">
        <v>69.73</v>
      </c>
      <c r="T65">
        <v>0.19789999999999999</v>
      </c>
      <c r="U65">
        <v>1.0471999999999999</v>
      </c>
      <c r="V65">
        <v>11.540800000000001</v>
      </c>
      <c r="W65">
        <v>0.84670000000000001</v>
      </c>
      <c r="X65">
        <v>0.1002</v>
      </c>
      <c r="Y65">
        <v>2.9428999999999998</v>
      </c>
      <c r="Z65">
        <v>82.2</v>
      </c>
      <c r="AA65" s="2">
        <f t="shared" si="0"/>
        <v>0</v>
      </c>
      <c r="AB65">
        <v>85.4</v>
      </c>
      <c r="AC65" s="3">
        <v>0</v>
      </c>
    </row>
    <row r="66" spans="1:29" x14ac:dyDescent="0.3">
      <c r="A66" s="1">
        <f t="shared" si="1"/>
        <v>65</v>
      </c>
      <c r="B66">
        <v>2</v>
      </c>
      <c r="C66">
        <v>1227</v>
      </c>
      <c r="D66">
        <v>222</v>
      </c>
      <c r="E66">
        <v>199.3</v>
      </c>
      <c r="F66">
        <v>170</v>
      </c>
      <c r="G66">
        <v>22</v>
      </c>
      <c r="H66">
        <v>55</v>
      </c>
      <c r="I66">
        <v>446</v>
      </c>
      <c r="J66">
        <v>26.7</v>
      </c>
      <c r="K66">
        <v>11.34</v>
      </c>
      <c r="L66">
        <v>0.26829999999999998</v>
      </c>
      <c r="M66">
        <v>3.7000000000000002E-3</v>
      </c>
      <c r="N66">
        <v>0.57150000000000001</v>
      </c>
      <c r="O66">
        <v>0.67010000000000003</v>
      </c>
      <c r="P66">
        <v>418.67</v>
      </c>
      <c r="Q66">
        <v>8610.91</v>
      </c>
      <c r="R66">
        <v>1.75</v>
      </c>
      <c r="S66">
        <v>80.89</v>
      </c>
      <c r="T66">
        <v>0.19320000000000001</v>
      </c>
      <c r="U66">
        <v>1.0829</v>
      </c>
      <c r="V66">
        <v>8.9705999999999992</v>
      </c>
      <c r="W66">
        <v>0.88170000000000004</v>
      </c>
      <c r="X66">
        <v>0.1031</v>
      </c>
      <c r="Y66">
        <v>3.3601999999999999</v>
      </c>
      <c r="Z66">
        <v>85.1</v>
      </c>
      <c r="AA66" s="2">
        <f t="shared" si="0"/>
        <v>0</v>
      </c>
      <c r="AB66">
        <v>88.2</v>
      </c>
      <c r="AC66" s="3">
        <v>0</v>
      </c>
    </row>
    <row r="67" spans="1:29" x14ac:dyDescent="0.3">
      <c r="A67" s="1">
        <f t="shared" si="1"/>
        <v>66</v>
      </c>
      <c r="B67">
        <v>2</v>
      </c>
      <c r="C67">
        <v>1203.3</v>
      </c>
      <c r="D67">
        <v>245.6</v>
      </c>
      <c r="E67">
        <v>211.3</v>
      </c>
      <c r="F67">
        <v>165</v>
      </c>
      <c r="G67">
        <v>22</v>
      </c>
      <c r="H67">
        <v>54</v>
      </c>
      <c r="I67">
        <v>446</v>
      </c>
      <c r="J67">
        <v>26.63</v>
      </c>
      <c r="K67">
        <v>9.8699999999999992</v>
      </c>
      <c r="L67">
        <v>0.27910000000000001</v>
      </c>
      <c r="M67">
        <v>7.0000000000000001E-3</v>
      </c>
      <c r="N67">
        <v>0.50229999999999997</v>
      </c>
      <c r="O67">
        <v>0.58689999999999998</v>
      </c>
      <c r="P67">
        <v>391.58</v>
      </c>
      <c r="Q67">
        <v>9051.65</v>
      </c>
      <c r="R67">
        <v>1.62</v>
      </c>
      <c r="S67">
        <v>73</v>
      </c>
      <c r="T67">
        <v>0.19409999999999999</v>
      </c>
      <c r="U67">
        <v>1.0269999999999999</v>
      </c>
      <c r="V67">
        <v>10.0694</v>
      </c>
      <c r="W67">
        <v>0.86070000000000002</v>
      </c>
      <c r="X67">
        <v>0.11</v>
      </c>
      <c r="Y67">
        <v>3.2536</v>
      </c>
      <c r="Z67">
        <v>86.7</v>
      </c>
      <c r="AA67" s="2">
        <f t="shared" ref="AA67:AA113" si="2">IF(Z67&gt;=90,1,0)</f>
        <v>0</v>
      </c>
      <c r="AB67">
        <v>83.2</v>
      </c>
      <c r="AC67" s="3">
        <v>0</v>
      </c>
    </row>
    <row r="68" spans="1:29" x14ac:dyDescent="0.3">
      <c r="A68" s="1">
        <f t="shared" ref="A68:A113" si="3">A67+1</f>
        <v>67</v>
      </c>
      <c r="B68">
        <v>3</v>
      </c>
      <c r="C68">
        <v>368.9</v>
      </c>
      <c r="D68">
        <v>84.8</v>
      </c>
      <c r="E68">
        <v>126.9</v>
      </c>
      <c r="F68">
        <v>120</v>
      </c>
      <c r="G68">
        <v>18</v>
      </c>
      <c r="H68">
        <v>29</v>
      </c>
      <c r="I68">
        <v>356</v>
      </c>
      <c r="J68">
        <v>44.67</v>
      </c>
      <c r="K68">
        <v>31.06</v>
      </c>
      <c r="L68">
        <v>0.16619999999999999</v>
      </c>
      <c r="M68">
        <v>0</v>
      </c>
      <c r="N68">
        <v>0.24879999999999999</v>
      </c>
      <c r="O68">
        <v>0.90580000000000005</v>
      </c>
      <c r="P68">
        <v>330.3</v>
      </c>
      <c r="Q68">
        <v>4009.87</v>
      </c>
      <c r="R68">
        <v>4.05</v>
      </c>
      <c r="S68">
        <v>18.34</v>
      </c>
      <c r="T68">
        <v>0.38269999999999998</v>
      </c>
      <c r="U68">
        <v>0.63929999999999998</v>
      </c>
      <c r="V68">
        <v>2.6831</v>
      </c>
      <c r="W68">
        <v>0.5766</v>
      </c>
      <c r="X68">
        <v>3.8899999999999997E-2</v>
      </c>
      <c r="Y68">
        <v>0.65800000000000003</v>
      </c>
      <c r="Z68">
        <v>98.3</v>
      </c>
      <c r="AA68" s="2">
        <f t="shared" si="2"/>
        <v>1</v>
      </c>
      <c r="AB68">
        <v>98.1</v>
      </c>
      <c r="AC68" s="3">
        <v>1</v>
      </c>
    </row>
    <row r="69" spans="1:29" x14ac:dyDescent="0.3">
      <c r="A69" s="1">
        <f t="shared" si="3"/>
        <v>68</v>
      </c>
      <c r="B69">
        <v>3</v>
      </c>
      <c r="C69">
        <v>453.9</v>
      </c>
      <c r="D69">
        <v>171.4</v>
      </c>
      <c r="E69">
        <v>231.9</v>
      </c>
      <c r="F69">
        <v>210</v>
      </c>
      <c r="G69">
        <v>13</v>
      </c>
      <c r="H69">
        <v>33</v>
      </c>
      <c r="I69">
        <v>712</v>
      </c>
      <c r="J69">
        <v>49.09</v>
      </c>
      <c r="K69">
        <v>27.83</v>
      </c>
      <c r="L69">
        <v>0.2329</v>
      </c>
      <c r="M69">
        <v>0</v>
      </c>
      <c r="N69">
        <v>0.67969999999999997</v>
      </c>
      <c r="O69">
        <v>0.68730000000000002</v>
      </c>
      <c r="P69">
        <v>196.37</v>
      </c>
      <c r="Q69">
        <v>2906.98</v>
      </c>
      <c r="R69">
        <v>4.12</v>
      </c>
      <c r="S69">
        <v>4.6500000000000004</v>
      </c>
      <c r="T69">
        <v>0.26679999999999998</v>
      </c>
      <c r="U69">
        <v>1.0146999999999999</v>
      </c>
      <c r="V69">
        <v>6.9943999999999997</v>
      </c>
      <c r="W69">
        <v>0.74409999999999998</v>
      </c>
      <c r="X69">
        <v>5.28E-2</v>
      </c>
      <c r="Y69">
        <v>1.6456</v>
      </c>
      <c r="Z69">
        <v>90.7</v>
      </c>
      <c r="AA69" s="2">
        <f t="shared" si="2"/>
        <v>1</v>
      </c>
      <c r="AB69">
        <v>94.4</v>
      </c>
      <c r="AC69" s="3">
        <v>1</v>
      </c>
    </row>
    <row r="70" spans="1:29" x14ac:dyDescent="0.3">
      <c r="A70" s="1">
        <f t="shared" si="3"/>
        <v>69</v>
      </c>
      <c r="B70">
        <v>2</v>
      </c>
      <c r="C70">
        <v>901.5</v>
      </c>
      <c r="D70">
        <v>257</v>
      </c>
      <c r="E70">
        <v>208.5</v>
      </c>
      <c r="F70">
        <v>225</v>
      </c>
      <c r="G70">
        <v>18</v>
      </c>
      <c r="H70">
        <v>63</v>
      </c>
      <c r="I70">
        <v>1064</v>
      </c>
      <c r="J70">
        <v>23.47</v>
      </c>
      <c r="K70">
        <v>8.2100000000000009</v>
      </c>
      <c r="L70">
        <v>0.29909999999999998</v>
      </c>
      <c r="M70">
        <v>9.5999999999999992E-3</v>
      </c>
      <c r="N70">
        <v>0.59699999999999998</v>
      </c>
      <c r="O70">
        <v>0.78249999999999997</v>
      </c>
      <c r="P70">
        <v>363.74</v>
      </c>
      <c r="Q70">
        <v>10353.73</v>
      </c>
      <c r="R70">
        <v>3.66</v>
      </c>
      <c r="S70">
        <v>28.92</v>
      </c>
      <c r="T70">
        <v>0.13669999999999999</v>
      </c>
      <c r="U70">
        <v>1.3612</v>
      </c>
      <c r="V70">
        <v>14.513400000000001</v>
      </c>
      <c r="W70">
        <v>0.88500000000000001</v>
      </c>
      <c r="X70">
        <v>0.1169</v>
      </c>
      <c r="Y70">
        <v>1.7041999999999999</v>
      </c>
      <c r="Z70">
        <v>91.4</v>
      </c>
      <c r="AA70" s="2">
        <f t="shared" si="2"/>
        <v>1</v>
      </c>
      <c r="AB70">
        <v>88.8</v>
      </c>
      <c r="AC70" s="3">
        <v>0</v>
      </c>
    </row>
    <row r="71" spans="1:29" x14ac:dyDescent="0.3">
      <c r="A71" s="1">
        <f t="shared" si="3"/>
        <v>70</v>
      </c>
      <c r="B71">
        <v>2</v>
      </c>
      <c r="C71">
        <v>917.6</v>
      </c>
      <c r="D71">
        <v>251.6</v>
      </c>
      <c r="E71">
        <v>200.5</v>
      </c>
      <c r="F71">
        <v>225</v>
      </c>
      <c r="G71">
        <v>19</v>
      </c>
      <c r="H71">
        <v>64</v>
      </c>
      <c r="I71">
        <v>1064</v>
      </c>
      <c r="J71">
        <v>21.06</v>
      </c>
      <c r="K71">
        <v>7.32</v>
      </c>
      <c r="L71">
        <v>0.31440000000000001</v>
      </c>
      <c r="M71">
        <v>1.09E-2</v>
      </c>
      <c r="N71">
        <v>0.60229999999999995</v>
      </c>
      <c r="O71">
        <v>0.81979999999999997</v>
      </c>
      <c r="P71">
        <v>348.16</v>
      </c>
      <c r="Q71">
        <v>11865.73</v>
      </c>
      <c r="R71">
        <v>3.92</v>
      </c>
      <c r="S71">
        <v>27.62</v>
      </c>
      <c r="T71">
        <v>0.1326</v>
      </c>
      <c r="U71">
        <v>1.4094</v>
      </c>
      <c r="V71">
        <v>15.642300000000001</v>
      </c>
      <c r="W71">
        <v>0.89129999999999998</v>
      </c>
      <c r="X71">
        <v>0.1258</v>
      </c>
      <c r="Y71">
        <v>1.6897</v>
      </c>
      <c r="Z71">
        <v>90.4</v>
      </c>
      <c r="AA71" s="2">
        <f t="shared" si="2"/>
        <v>1</v>
      </c>
      <c r="AB71">
        <v>91.4</v>
      </c>
      <c r="AC71" s="3">
        <v>1</v>
      </c>
    </row>
    <row r="72" spans="1:29" x14ac:dyDescent="0.3">
      <c r="A72" s="1">
        <f t="shared" si="3"/>
        <v>71</v>
      </c>
      <c r="B72">
        <v>1</v>
      </c>
      <c r="C72">
        <v>713.8</v>
      </c>
      <c r="D72">
        <v>128</v>
      </c>
      <c r="E72">
        <v>140.19999999999999</v>
      </c>
      <c r="F72">
        <v>90</v>
      </c>
      <c r="G72">
        <v>34</v>
      </c>
      <c r="H72">
        <v>51</v>
      </c>
      <c r="I72">
        <v>446</v>
      </c>
      <c r="J72">
        <v>18.55</v>
      </c>
      <c r="K72">
        <v>10.02</v>
      </c>
      <c r="L72">
        <v>0.2354</v>
      </c>
      <c r="M72">
        <v>2.3E-3</v>
      </c>
      <c r="N72">
        <v>0.33879999999999999</v>
      </c>
      <c r="O72">
        <v>0.94299999999999995</v>
      </c>
      <c r="P72">
        <v>395.61</v>
      </c>
      <c r="Q72">
        <v>5386.72</v>
      </c>
      <c r="R72">
        <v>3.11</v>
      </c>
      <c r="S72">
        <v>37.1</v>
      </c>
      <c r="T72">
        <v>0.24360000000000001</v>
      </c>
      <c r="U72">
        <v>0.98370000000000002</v>
      </c>
      <c r="V72">
        <v>5.0670999999999999</v>
      </c>
      <c r="W72">
        <v>0.89239999999999997</v>
      </c>
      <c r="X72">
        <v>0.109</v>
      </c>
      <c r="Y72">
        <v>1.2237</v>
      </c>
      <c r="Z72">
        <v>98.1</v>
      </c>
      <c r="AA72" s="2">
        <f t="shared" si="2"/>
        <v>1</v>
      </c>
      <c r="AB72">
        <v>94.7</v>
      </c>
      <c r="AC72" s="3">
        <v>1</v>
      </c>
    </row>
    <row r="73" spans="1:29" x14ac:dyDescent="0.3">
      <c r="A73" s="1">
        <f t="shared" si="3"/>
        <v>72</v>
      </c>
      <c r="B73">
        <v>1</v>
      </c>
      <c r="C73">
        <v>576.4</v>
      </c>
      <c r="D73">
        <v>163.19999999999999</v>
      </c>
      <c r="E73">
        <v>69.900000000000006</v>
      </c>
      <c r="F73">
        <v>70</v>
      </c>
      <c r="G73">
        <v>35</v>
      </c>
      <c r="H73">
        <v>48</v>
      </c>
      <c r="I73">
        <v>712</v>
      </c>
      <c r="J73">
        <v>14.21</v>
      </c>
      <c r="K73">
        <v>7.46</v>
      </c>
      <c r="L73">
        <v>0.27260000000000001</v>
      </c>
      <c r="M73">
        <v>8.2000000000000007E-3</v>
      </c>
      <c r="N73">
        <v>0.31569999999999998</v>
      </c>
      <c r="O73">
        <v>1.1640999999999999</v>
      </c>
      <c r="P73">
        <v>324.61</v>
      </c>
      <c r="Q73">
        <v>5501.42</v>
      </c>
      <c r="R73">
        <v>4.1500000000000004</v>
      </c>
      <c r="S73">
        <v>9.7200000000000006</v>
      </c>
      <c r="T73">
        <v>0.23630000000000001</v>
      </c>
      <c r="U73">
        <v>0.77939999999999998</v>
      </c>
      <c r="V73">
        <v>4.9852999999999996</v>
      </c>
      <c r="W73">
        <v>0.80710000000000004</v>
      </c>
      <c r="X73">
        <v>0.1298</v>
      </c>
      <c r="Y73">
        <v>0.84350000000000003</v>
      </c>
      <c r="Z73">
        <v>96</v>
      </c>
      <c r="AA73" s="2">
        <f t="shared" si="2"/>
        <v>1</v>
      </c>
      <c r="AB73">
        <v>95.4</v>
      </c>
      <c r="AC73" s="3">
        <v>1</v>
      </c>
    </row>
    <row r="74" spans="1:29" x14ac:dyDescent="0.3">
      <c r="A74" s="1">
        <f t="shared" si="3"/>
        <v>73</v>
      </c>
      <c r="B74">
        <v>2</v>
      </c>
      <c r="C74">
        <v>421.5</v>
      </c>
      <c r="D74">
        <v>109.9</v>
      </c>
      <c r="E74">
        <v>204.8</v>
      </c>
      <c r="F74">
        <v>200</v>
      </c>
      <c r="G74">
        <v>15</v>
      </c>
      <c r="H74">
        <v>54</v>
      </c>
      <c r="I74">
        <v>416</v>
      </c>
      <c r="J74">
        <v>28.51</v>
      </c>
      <c r="K74">
        <v>16.190000000000001</v>
      </c>
      <c r="L74">
        <v>0.21990000000000001</v>
      </c>
      <c r="M74">
        <v>1.6000000000000001E-3</v>
      </c>
      <c r="N74">
        <v>0.41620000000000001</v>
      </c>
      <c r="O74">
        <v>0.86580000000000001</v>
      </c>
      <c r="P74">
        <v>379.48</v>
      </c>
      <c r="Q74">
        <v>6498.73</v>
      </c>
      <c r="R74">
        <v>3.04</v>
      </c>
      <c r="S74">
        <v>28.82</v>
      </c>
      <c r="T74">
        <v>0.1807</v>
      </c>
      <c r="U74">
        <v>1.1025</v>
      </c>
      <c r="V74">
        <v>8.2156000000000002</v>
      </c>
      <c r="W74">
        <v>0.8861</v>
      </c>
      <c r="X74">
        <v>8.6599999999999996E-2</v>
      </c>
      <c r="Y74">
        <v>1.4245000000000001</v>
      </c>
      <c r="Z74">
        <v>99</v>
      </c>
      <c r="AA74" s="2">
        <f t="shared" si="2"/>
        <v>1</v>
      </c>
      <c r="AB74">
        <v>89.4</v>
      </c>
      <c r="AC74" s="3">
        <v>0</v>
      </c>
    </row>
    <row r="75" spans="1:29" x14ac:dyDescent="0.3">
      <c r="A75" s="1">
        <f t="shared" si="3"/>
        <v>74</v>
      </c>
      <c r="B75">
        <v>2</v>
      </c>
      <c r="C75">
        <v>509</v>
      </c>
      <c r="D75">
        <v>111.5</v>
      </c>
      <c r="E75">
        <v>158.9</v>
      </c>
      <c r="F75">
        <v>175</v>
      </c>
      <c r="G75">
        <v>19</v>
      </c>
      <c r="H75">
        <v>53</v>
      </c>
      <c r="I75">
        <v>416</v>
      </c>
      <c r="J75">
        <v>26.04</v>
      </c>
      <c r="K75">
        <v>11.2</v>
      </c>
      <c r="L75">
        <v>0.24640000000000001</v>
      </c>
      <c r="M75">
        <v>4.1000000000000003E-3</v>
      </c>
      <c r="N75">
        <v>0.43780000000000002</v>
      </c>
      <c r="O75">
        <v>0.8619</v>
      </c>
      <c r="P75">
        <v>397.77</v>
      </c>
      <c r="Q75">
        <v>9342.19</v>
      </c>
      <c r="R75">
        <v>3.18</v>
      </c>
      <c r="S75">
        <v>39.65</v>
      </c>
      <c r="T75">
        <v>0.1938</v>
      </c>
      <c r="U75">
        <v>1.2273000000000001</v>
      </c>
      <c r="V75">
        <v>8.7761999999999993</v>
      </c>
      <c r="W75">
        <v>0.84530000000000005</v>
      </c>
      <c r="X75">
        <v>9.1700000000000004E-2</v>
      </c>
      <c r="Y75">
        <v>1.4340999999999999</v>
      </c>
      <c r="Z75">
        <v>91.6</v>
      </c>
      <c r="AA75" s="2">
        <f t="shared" si="2"/>
        <v>1</v>
      </c>
      <c r="AB75">
        <v>89.5</v>
      </c>
      <c r="AC75" s="3">
        <v>0</v>
      </c>
    </row>
    <row r="76" spans="1:29" x14ac:dyDescent="0.3">
      <c r="A76" s="1">
        <f t="shared" si="3"/>
        <v>75</v>
      </c>
      <c r="B76">
        <v>2</v>
      </c>
      <c r="C76">
        <v>532.79999999999995</v>
      </c>
      <c r="D76">
        <v>163</v>
      </c>
      <c r="E76">
        <v>170.5</v>
      </c>
      <c r="F76">
        <v>190</v>
      </c>
      <c r="G76">
        <v>23</v>
      </c>
      <c r="H76">
        <v>60</v>
      </c>
      <c r="I76">
        <v>684</v>
      </c>
      <c r="J76">
        <v>23.45</v>
      </c>
      <c r="K76">
        <v>10.39</v>
      </c>
      <c r="L76">
        <v>0.28849999999999998</v>
      </c>
      <c r="M76">
        <v>7.7999999999999996E-3</v>
      </c>
      <c r="N76">
        <v>0.56969999999999998</v>
      </c>
      <c r="O76">
        <v>0.88959999999999995</v>
      </c>
      <c r="P76">
        <v>326.14</v>
      </c>
      <c r="Q76">
        <v>6428.05</v>
      </c>
      <c r="R76">
        <v>3.9</v>
      </c>
      <c r="S76">
        <v>26.01</v>
      </c>
      <c r="T76">
        <v>0.17280000000000001</v>
      </c>
      <c r="U76">
        <v>1.1497999999999999</v>
      </c>
      <c r="V76">
        <v>11.161099999999999</v>
      </c>
      <c r="W76">
        <v>0.88219999999999998</v>
      </c>
      <c r="X76">
        <v>0.1172</v>
      </c>
      <c r="Y76">
        <v>1.5429999999999999</v>
      </c>
      <c r="Z76">
        <v>93.2</v>
      </c>
      <c r="AA76" s="2">
        <f t="shared" si="2"/>
        <v>1</v>
      </c>
      <c r="AB76">
        <v>91.6</v>
      </c>
      <c r="AC76" s="3">
        <v>1</v>
      </c>
    </row>
    <row r="77" spans="1:29" x14ac:dyDescent="0.3">
      <c r="A77" s="1">
        <f t="shared" si="3"/>
        <v>76</v>
      </c>
      <c r="B77">
        <v>1</v>
      </c>
      <c r="C77">
        <v>333.7</v>
      </c>
      <c r="D77">
        <v>89</v>
      </c>
      <c r="E77">
        <v>143.5</v>
      </c>
      <c r="F77">
        <v>115</v>
      </c>
      <c r="G77">
        <v>26</v>
      </c>
      <c r="H77">
        <v>48</v>
      </c>
      <c r="I77">
        <v>360</v>
      </c>
      <c r="J77">
        <v>24.55</v>
      </c>
      <c r="K77">
        <v>13.44</v>
      </c>
      <c r="L77">
        <v>0.2316</v>
      </c>
      <c r="M77">
        <v>3.0000000000000001E-3</v>
      </c>
      <c r="N77">
        <v>0.5454</v>
      </c>
      <c r="O77">
        <v>1.3342000000000001</v>
      </c>
      <c r="P77">
        <v>337.95</v>
      </c>
      <c r="Q77">
        <v>6430.42</v>
      </c>
      <c r="R77">
        <v>3.81</v>
      </c>
      <c r="S77">
        <v>25.55</v>
      </c>
      <c r="T77">
        <v>0.22739999999999999</v>
      </c>
      <c r="U77">
        <v>0.78510000000000002</v>
      </c>
      <c r="V77">
        <v>5.0125999999999999</v>
      </c>
      <c r="W77">
        <v>0.87519999999999998</v>
      </c>
      <c r="X77">
        <v>9.8299999999999998E-2</v>
      </c>
      <c r="Y77">
        <v>1.5427</v>
      </c>
      <c r="Z77">
        <v>96.6</v>
      </c>
      <c r="AA77" s="2">
        <f t="shared" si="2"/>
        <v>1</v>
      </c>
      <c r="AB77">
        <v>99.2</v>
      </c>
      <c r="AC77" s="3">
        <v>1</v>
      </c>
    </row>
    <row r="78" spans="1:29" x14ac:dyDescent="0.3">
      <c r="A78" s="1">
        <f t="shared" si="3"/>
        <v>77</v>
      </c>
      <c r="B78">
        <v>3</v>
      </c>
      <c r="C78">
        <v>1099.7</v>
      </c>
      <c r="D78">
        <v>196.5</v>
      </c>
      <c r="E78">
        <v>256.39999999999998</v>
      </c>
      <c r="F78">
        <v>255</v>
      </c>
      <c r="G78">
        <v>7</v>
      </c>
      <c r="H78">
        <v>32</v>
      </c>
      <c r="I78">
        <v>712</v>
      </c>
      <c r="J78">
        <v>50.37</v>
      </c>
      <c r="K78">
        <v>25.49</v>
      </c>
      <c r="L78">
        <v>0.2339</v>
      </c>
      <c r="M78">
        <v>0</v>
      </c>
      <c r="N78">
        <v>0.66679999999999995</v>
      </c>
      <c r="O78">
        <v>0.6603</v>
      </c>
      <c r="P78">
        <v>391.01</v>
      </c>
      <c r="Q78">
        <v>8078.98</v>
      </c>
      <c r="R78">
        <v>3.42</v>
      </c>
      <c r="S78">
        <v>38.270000000000003</v>
      </c>
      <c r="T78">
        <v>0.24779999999999999</v>
      </c>
      <c r="U78">
        <v>1.4043000000000001</v>
      </c>
      <c r="V78">
        <v>6.9447999999999999</v>
      </c>
      <c r="W78">
        <v>0.7782</v>
      </c>
      <c r="X78">
        <v>0.05</v>
      </c>
      <c r="Y78">
        <v>2.0444</v>
      </c>
      <c r="Z78">
        <v>76.599999999999994</v>
      </c>
      <c r="AA78" s="2">
        <f t="shared" si="2"/>
        <v>0</v>
      </c>
      <c r="AB78">
        <v>85.6</v>
      </c>
      <c r="AC78" s="3">
        <v>0</v>
      </c>
    </row>
    <row r="79" spans="1:29" x14ac:dyDescent="0.3">
      <c r="A79" s="1">
        <f t="shared" si="3"/>
        <v>78</v>
      </c>
      <c r="B79">
        <v>2</v>
      </c>
      <c r="C79">
        <v>943.1</v>
      </c>
      <c r="D79">
        <v>258.60000000000002</v>
      </c>
      <c r="E79">
        <v>195.2</v>
      </c>
      <c r="F79">
        <v>220</v>
      </c>
      <c r="G79">
        <v>22</v>
      </c>
      <c r="H79">
        <v>65</v>
      </c>
      <c r="I79">
        <v>1064</v>
      </c>
      <c r="J79">
        <v>20.09</v>
      </c>
      <c r="K79">
        <v>7.38</v>
      </c>
      <c r="L79">
        <v>0.31609999999999999</v>
      </c>
      <c r="M79">
        <v>1.04E-2</v>
      </c>
      <c r="N79">
        <v>0.62409999999999999</v>
      </c>
      <c r="O79">
        <v>0.84519999999999995</v>
      </c>
      <c r="P79">
        <v>364.36</v>
      </c>
      <c r="Q79">
        <v>9838.2000000000007</v>
      </c>
      <c r="R79">
        <v>3.76</v>
      </c>
      <c r="S79">
        <v>33.83</v>
      </c>
      <c r="T79">
        <v>0.1396</v>
      </c>
      <c r="U79">
        <v>1.3549</v>
      </c>
      <c r="V79">
        <v>15.5425</v>
      </c>
      <c r="W79">
        <v>0.88639999999999997</v>
      </c>
      <c r="X79">
        <v>0.12429999999999999</v>
      </c>
      <c r="Y79">
        <v>1.6665000000000001</v>
      </c>
      <c r="Z79">
        <v>90.5</v>
      </c>
      <c r="AA79" s="2">
        <f t="shared" si="2"/>
        <v>1</v>
      </c>
      <c r="AB79">
        <v>90.7</v>
      </c>
      <c r="AC79" s="3">
        <v>1</v>
      </c>
    </row>
    <row r="80" spans="1:29" x14ac:dyDescent="0.3">
      <c r="A80" s="1">
        <f t="shared" si="3"/>
        <v>79</v>
      </c>
      <c r="B80">
        <v>2</v>
      </c>
      <c r="C80">
        <v>1449.2</v>
      </c>
      <c r="D80">
        <v>355.8</v>
      </c>
      <c r="E80">
        <v>219.9</v>
      </c>
      <c r="F80">
        <v>215</v>
      </c>
      <c r="G80">
        <v>21</v>
      </c>
      <c r="H80">
        <v>65</v>
      </c>
      <c r="I80">
        <v>949</v>
      </c>
      <c r="J80">
        <v>23.36</v>
      </c>
      <c r="K80">
        <v>12.3</v>
      </c>
      <c r="L80">
        <v>0.24410000000000001</v>
      </c>
      <c r="M80">
        <v>5.9999999999999995E-4</v>
      </c>
      <c r="N80">
        <v>0.7823</v>
      </c>
      <c r="O80">
        <v>1.2854000000000001</v>
      </c>
      <c r="P80">
        <v>376.98</v>
      </c>
      <c r="Q80">
        <v>20316.47</v>
      </c>
      <c r="R80">
        <v>2.62</v>
      </c>
      <c r="S80">
        <v>142.94</v>
      </c>
      <c r="T80">
        <v>0.16569999999999999</v>
      </c>
      <c r="U80">
        <v>1.3557999999999999</v>
      </c>
      <c r="V80">
        <v>8.3602000000000007</v>
      </c>
      <c r="W80">
        <v>0.93679999999999997</v>
      </c>
      <c r="X80">
        <v>9.2600000000000002E-2</v>
      </c>
      <c r="Y80">
        <v>3.3447</v>
      </c>
      <c r="Z80">
        <v>97.1</v>
      </c>
      <c r="AA80" s="2">
        <f t="shared" si="2"/>
        <v>1</v>
      </c>
      <c r="AB80">
        <v>97.5</v>
      </c>
      <c r="AC80" s="3">
        <v>1</v>
      </c>
    </row>
    <row r="81" spans="1:29" x14ac:dyDescent="0.3">
      <c r="A81" s="1">
        <f t="shared" si="3"/>
        <v>80</v>
      </c>
      <c r="B81">
        <v>2</v>
      </c>
      <c r="C81">
        <v>921.5</v>
      </c>
      <c r="D81">
        <v>259.8</v>
      </c>
      <c r="E81">
        <v>203.8</v>
      </c>
      <c r="F81">
        <v>250</v>
      </c>
      <c r="G81">
        <v>17</v>
      </c>
      <c r="H81">
        <v>66</v>
      </c>
      <c r="I81">
        <v>1064</v>
      </c>
      <c r="J81">
        <v>23.74</v>
      </c>
      <c r="K81">
        <v>8.7200000000000006</v>
      </c>
      <c r="L81">
        <v>0.29549999999999998</v>
      </c>
      <c r="M81">
        <v>8.8999999999999999E-3</v>
      </c>
      <c r="N81">
        <v>0.63019999999999998</v>
      </c>
      <c r="O81">
        <v>0.80649999999999999</v>
      </c>
      <c r="P81">
        <v>358.91</v>
      </c>
      <c r="Q81">
        <v>9686.07</v>
      </c>
      <c r="R81">
        <v>3.71</v>
      </c>
      <c r="S81">
        <v>34.82</v>
      </c>
      <c r="T81">
        <v>0.14580000000000001</v>
      </c>
      <c r="U81">
        <v>1.4063000000000001</v>
      </c>
      <c r="V81">
        <v>15.8451</v>
      </c>
      <c r="W81">
        <v>0.87190000000000001</v>
      </c>
      <c r="X81">
        <v>0.1101</v>
      </c>
      <c r="Y81">
        <v>1.6852</v>
      </c>
      <c r="Z81">
        <v>91.3</v>
      </c>
      <c r="AA81" s="2">
        <f t="shared" si="2"/>
        <v>1</v>
      </c>
      <c r="AB81">
        <v>92</v>
      </c>
      <c r="AC81" s="3">
        <v>1</v>
      </c>
    </row>
    <row r="82" spans="1:29" x14ac:dyDescent="0.3">
      <c r="A82" s="1">
        <f t="shared" si="3"/>
        <v>81</v>
      </c>
      <c r="B82">
        <v>3</v>
      </c>
      <c r="C82">
        <v>878.2</v>
      </c>
      <c r="D82">
        <v>258.39999999999998</v>
      </c>
      <c r="E82">
        <v>169.3</v>
      </c>
      <c r="F82">
        <v>185</v>
      </c>
      <c r="G82">
        <v>12</v>
      </c>
      <c r="H82">
        <v>31</v>
      </c>
      <c r="I82">
        <v>624</v>
      </c>
      <c r="J82">
        <v>45.27</v>
      </c>
      <c r="K82">
        <v>24.42</v>
      </c>
      <c r="L82">
        <v>0.22120000000000001</v>
      </c>
      <c r="M82">
        <v>0</v>
      </c>
      <c r="N82">
        <v>0.49059999999999998</v>
      </c>
      <c r="O82">
        <v>0.72989999999999999</v>
      </c>
      <c r="P82">
        <v>290.48</v>
      </c>
      <c r="Q82">
        <v>7866.59</v>
      </c>
      <c r="R82">
        <v>2.35</v>
      </c>
      <c r="S82">
        <v>31.26</v>
      </c>
      <c r="T82">
        <v>0.25650000000000001</v>
      </c>
      <c r="U82">
        <v>0.91069999999999995</v>
      </c>
      <c r="V82">
        <v>5.3571999999999997</v>
      </c>
      <c r="W82">
        <v>0.73909999999999998</v>
      </c>
      <c r="X82">
        <v>5.1499999999999997E-2</v>
      </c>
      <c r="Y82">
        <v>2.2456</v>
      </c>
      <c r="Z82">
        <v>95.5</v>
      </c>
      <c r="AA82" s="2">
        <f t="shared" si="2"/>
        <v>1</v>
      </c>
      <c r="AB82">
        <v>98.6</v>
      </c>
      <c r="AC82" s="3">
        <v>1</v>
      </c>
    </row>
    <row r="83" spans="1:29" x14ac:dyDescent="0.3">
      <c r="A83" s="1">
        <f t="shared" si="3"/>
        <v>82</v>
      </c>
      <c r="B83">
        <v>3</v>
      </c>
      <c r="C83">
        <v>1171.9000000000001</v>
      </c>
      <c r="D83">
        <v>197.6</v>
      </c>
      <c r="E83">
        <v>129.9</v>
      </c>
      <c r="F83">
        <v>120</v>
      </c>
      <c r="G83">
        <v>15</v>
      </c>
      <c r="H83">
        <v>26</v>
      </c>
      <c r="I83">
        <v>416</v>
      </c>
      <c r="J83">
        <v>29.99</v>
      </c>
      <c r="K83">
        <v>19.09</v>
      </c>
      <c r="L83">
        <v>0.2117</v>
      </c>
      <c r="M83">
        <v>0</v>
      </c>
      <c r="N83">
        <v>0.25069999999999998</v>
      </c>
      <c r="O83">
        <v>0.87549999999999994</v>
      </c>
      <c r="P83">
        <v>400.8</v>
      </c>
      <c r="Q83">
        <v>10499.46</v>
      </c>
      <c r="R83">
        <v>2.0499999999999998</v>
      </c>
      <c r="S83">
        <v>110.91</v>
      </c>
      <c r="T83">
        <v>0.25979999999999998</v>
      </c>
      <c r="U83">
        <v>1.0127999999999999</v>
      </c>
      <c r="V83">
        <v>3.1583000000000001</v>
      </c>
      <c r="W83">
        <v>0.81879999999999997</v>
      </c>
      <c r="X83">
        <v>5.7299999999999997E-2</v>
      </c>
      <c r="Y83">
        <v>1.3592</v>
      </c>
      <c r="Z83">
        <v>90.4</v>
      </c>
      <c r="AA83" s="2">
        <f t="shared" si="2"/>
        <v>1</v>
      </c>
      <c r="AB83">
        <v>97</v>
      </c>
      <c r="AC83" s="3">
        <v>1</v>
      </c>
    </row>
    <row r="84" spans="1:29" x14ac:dyDescent="0.3">
      <c r="A84" s="1">
        <f t="shared" si="3"/>
        <v>83</v>
      </c>
      <c r="B84">
        <v>2</v>
      </c>
      <c r="C84">
        <v>906.3</v>
      </c>
      <c r="D84">
        <v>381.6</v>
      </c>
      <c r="E84">
        <v>207.1</v>
      </c>
      <c r="F84">
        <v>220</v>
      </c>
      <c r="G84">
        <v>20</v>
      </c>
      <c r="H84">
        <v>63</v>
      </c>
      <c r="I84">
        <v>1067</v>
      </c>
      <c r="J84">
        <v>18.86</v>
      </c>
      <c r="K84">
        <v>6.83</v>
      </c>
      <c r="L84">
        <v>0.3357</v>
      </c>
      <c r="M84">
        <v>1.12E-2</v>
      </c>
      <c r="N84">
        <v>0.76749999999999996</v>
      </c>
      <c r="O84">
        <v>1.0228999999999999</v>
      </c>
      <c r="P84">
        <v>243.48</v>
      </c>
      <c r="Q84">
        <v>7103.24</v>
      </c>
      <c r="R84">
        <v>2.62</v>
      </c>
      <c r="S84">
        <v>86.03</v>
      </c>
      <c r="T84">
        <v>0.11459999999999999</v>
      </c>
      <c r="U84">
        <v>1.0032000000000001</v>
      </c>
      <c r="V84">
        <v>15.696</v>
      </c>
      <c r="W84">
        <v>0.91590000000000005</v>
      </c>
      <c r="X84">
        <v>0.13880000000000001</v>
      </c>
      <c r="Y84">
        <v>3.0455000000000001</v>
      </c>
      <c r="Z84">
        <v>89</v>
      </c>
      <c r="AA84" s="2">
        <f t="shared" si="2"/>
        <v>0</v>
      </c>
      <c r="AB84">
        <v>93.3</v>
      </c>
      <c r="AC84" s="3">
        <v>1</v>
      </c>
    </row>
    <row r="85" spans="1:29" x14ac:dyDescent="0.3">
      <c r="A85" s="1">
        <f t="shared" si="3"/>
        <v>84</v>
      </c>
      <c r="B85">
        <v>1</v>
      </c>
      <c r="C85">
        <v>553.5</v>
      </c>
      <c r="D85">
        <v>112</v>
      </c>
      <c r="E85">
        <v>334.2</v>
      </c>
      <c r="F85">
        <v>350</v>
      </c>
      <c r="G85">
        <v>1</v>
      </c>
      <c r="H85">
        <v>70</v>
      </c>
      <c r="I85">
        <v>436</v>
      </c>
      <c r="J85">
        <v>31.75</v>
      </c>
      <c r="K85">
        <v>14.76</v>
      </c>
      <c r="L85">
        <v>0.2215</v>
      </c>
      <c r="M85">
        <v>2.2000000000000001E-3</v>
      </c>
      <c r="N85">
        <v>0.6613</v>
      </c>
      <c r="O85">
        <v>0.63739999999999997</v>
      </c>
      <c r="P85">
        <v>366.51</v>
      </c>
      <c r="Q85">
        <v>6425.42</v>
      </c>
      <c r="R85">
        <v>3.53</v>
      </c>
      <c r="S85">
        <v>26.52</v>
      </c>
      <c r="T85">
        <v>0.13789999999999999</v>
      </c>
      <c r="U85">
        <v>1.2882</v>
      </c>
      <c r="V85">
        <v>14.0594</v>
      </c>
      <c r="W85">
        <v>0.91239999999999999</v>
      </c>
      <c r="X85">
        <v>7.3999999999999996E-2</v>
      </c>
      <c r="Y85">
        <v>1.9709000000000001</v>
      </c>
      <c r="Z85">
        <v>93</v>
      </c>
      <c r="AA85" s="2">
        <f t="shared" si="2"/>
        <v>1</v>
      </c>
      <c r="AB85">
        <v>94.9</v>
      </c>
      <c r="AC85" s="3">
        <v>1</v>
      </c>
    </row>
    <row r="86" spans="1:29" x14ac:dyDescent="0.3">
      <c r="A86" s="1">
        <f t="shared" si="3"/>
        <v>85</v>
      </c>
      <c r="B86">
        <v>2</v>
      </c>
      <c r="C86">
        <v>440.9</v>
      </c>
      <c r="D86">
        <v>100.9</v>
      </c>
      <c r="E86">
        <v>174.8</v>
      </c>
      <c r="F86">
        <v>195</v>
      </c>
      <c r="G86">
        <v>17</v>
      </c>
      <c r="H86">
        <v>55</v>
      </c>
      <c r="I86">
        <v>416</v>
      </c>
      <c r="J86">
        <v>24.4</v>
      </c>
      <c r="K86">
        <v>12.41</v>
      </c>
      <c r="L86">
        <v>0.2213</v>
      </c>
      <c r="M86">
        <v>2.5999999999999999E-3</v>
      </c>
      <c r="N86">
        <v>0.40749999999999997</v>
      </c>
      <c r="O86">
        <v>0.89770000000000005</v>
      </c>
      <c r="P86">
        <v>364.97</v>
      </c>
      <c r="Q86">
        <v>9873.4599999999991</v>
      </c>
      <c r="R86">
        <v>3.8</v>
      </c>
      <c r="S86">
        <v>28.12</v>
      </c>
      <c r="T86">
        <v>0.2152</v>
      </c>
      <c r="U86">
        <v>1.0886</v>
      </c>
      <c r="V86">
        <v>9.9383999999999997</v>
      </c>
      <c r="W86">
        <v>0.84</v>
      </c>
      <c r="X86">
        <v>8.4500000000000006E-2</v>
      </c>
      <c r="Y86">
        <v>1.216</v>
      </c>
      <c r="Z86">
        <v>94.5</v>
      </c>
      <c r="AA86" s="2">
        <f t="shared" si="2"/>
        <v>1</v>
      </c>
      <c r="AB86">
        <v>92.9</v>
      </c>
      <c r="AC86" s="3">
        <v>1</v>
      </c>
    </row>
    <row r="87" spans="1:29" x14ac:dyDescent="0.3">
      <c r="A87" s="1">
        <f t="shared" si="3"/>
        <v>86</v>
      </c>
      <c r="B87">
        <v>1</v>
      </c>
      <c r="C87">
        <v>1136.2</v>
      </c>
      <c r="D87">
        <v>197.8</v>
      </c>
      <c r="E87">
        <v>129.30000000000001</v>
      </c>
      <c r="F87">
        <v>110</v>
      </c>
      <c r="G87">
        <v>34</v>
      </c>
      <c r="H87">
        <v>55</v>
      </c>
      <c r="I87">
        <v>420</v>
      </c>
      <c r="J87">
        <v>22.16</v>
      </c>
      <c r="K87">
        <v>10.23</v>
      </c>
      <c r="L87">
        <v>0.26340000000000002</v>
      </c>
      <c r="M87">
        <v>8.3999999999999995E-3</v>
      </c>
      <c r="N87">
        <v>0.45</v>
      </c>
      <c r="O87">
        <v>0.69899999999999995</v>
      </c>
      <c r="P87">
        <v>399.14</v>
      </c>
      <c r="Q87">
        <v>9964.82</v>
      </c>
      <c r="R87">
        <v>2</v>
      </c>
      <c r="S87">
        <v>108.68</v>
      </c>
      <c r="T87">
        <v>0.20930000000000001</v>
      </c>
      <c r="U87">
        <v>1.1879</v>
      </c>
      <c r="V87">
        <v>7.1607000000000003</v>
      </c>
      <c r="W87">
        <v>0.85809999999999997</v>
      </c>
      <c r="X87">
        <v>0.1183</v>
      </c>
      <c r="Y87">
        <v>2.6738</v>
      </c>
      <c r="Z87">
        <v>95.6</v>
      </c>
      <c r="AA87" s="2">
        <f t="shared" si="2"/>
        <v>1</v>
      </c>
      <c r="AB87">
        <v>94.9</v>
      </c>
      <c r="AC87" s="3">
        <v>1</v>
      </c>
    </row>
    <row r="88" spans="1:29" x14ac:dyDescent="0.3">
      <c r="A88" s="1">
        <f t="shared" si="3"/>
        <v>87</v>
      </c>
      <c r="B88">
        <v>1</v>
      </c>
      <c r="C88">
        <v>940.6</v>
      </c>
      <c r="D88">
        <v>168.1</v>
      </c>
      <c r="E88">
        <v>113</v>
      </c>
      <c r="F88">
        <v>100</v>
      </c>
      <c r="G88">
        <v>32</v>
      </c>
      <c r="H88">
        <v>51</v>
      </c>
      <c r="I88">
        <v>446</v>
      </c>
      <c r="J88">
        <v>23.34</v>
      </c>
      <c r="K88">
        <v>12.39</v>
      </c>
      <c r="L88">
        <v>0.24349999999999999</v>
      </c>
      <c r="M88">
        <v>3.8999999999999998E-3</v>
      </c>
      <c r="N88">
        <v>0.45760000000000001</v>
      </c>
      <c r="O88">
        <v>0.81530000000000002</v>
      </c>
      <c r="P88">
        <v>392.47</v>
      </c>
      <c r="Q88">
        <v>8619.2900000000009</v>
      </c>
      <c r="R88">
        <v>2.44</v>
      </c>
      <c r="S88">
        <v>78.92</v>
      </c>
      <c r="T88">
        <v>0.24360000000000001</v>
      </c>
      <c r="U88">
        <v>1.0107999999999999</v>
      </c>
      <c r="V88">
        <v>6.1989999999999998</v>
      </c>
      <c r="W88">
        <v>0.78849999999999998</v>
      </c>
      <c r="X88">
        <v>0.1105</v>
      </c>
      <c r="Y88">
        <v>2.0213999999999999</v>
      </c>
      <c r="Z88">
        <v>91.3</v>
      </c>
      <c r="AA88" s="2">
        <f t="shared" si="2"/>
        <v>1</v>
      </c>
      <c r="AB88">
        <v>89.8</v>
      </c>
      <c r="AC88" s="3">
        <v>0</v>
      </c>
    </row>
    <row r="89" spans="1:29" x14ac:dyDescent="0.3">
      <c r="A89" s="1">
        <f t="shared" si="3"/>
        <v>88</v>
      </c>
      <c r="B89">
        <v>2</v>
      </c>
      <c r="C89">
        <v>451.9</v>
      </c>
      <c r="D89">
        <v>170.7</v>
      </c>
      <c r="E89">
        <v>146.19999999999999</v>
      </c>
      <c r="F89">
        <v>110</v>
      </c>
      <c r="G89">
        <v>28</v>
      </c>
      <c r="H89">
        <v>49</v>
      </c>
      <c r="I89">
        <v>713</v>
      </c>
      <c r="J89">
        <v>24.76</v>
      </c>
      <c r="K89">
        <v>12.13</v>
      </c>
      <c r="L89">
        <v>0.23860000000000001</v>
      </c>
      <c r="M89">
        <v>1.9E-3</v>
      </c>
      <c r="N89">
        <v>0.54459999999999997</v>
      </c>
      <c r="O89">
        <v>1.2307999999999999</v>
      </c>
      <c r="P89">
        <v>298.75</v>
      </c>
      <c r="Q89">
        <v>6033.08</v>
      </c>
      <c r="R89">
        <v>3.96</v>
      </c>
      <c r="S89">
        <v>26.35</v>
      </c>
      <c r="T89">
        <v>0.25019999999999998</v>
      </c>
      <c r="U89">
        <v>0.76929999999999998</v>
      </c>
      <c r="V89">
        <v>5.9255000000000004</v>
      </c>
      <c r="W89">
        <v>0.8538</v>
      </c>
      <c r="X89">
        <v>0.10249999999999999</v>
      </c>
      <c r="Y89">
        <v>1.5067999999999999</v>
      </c>
      <c r="Z89">
        <v>92.8</v>
      </c>
      <c r="AA89" s="2">
        <f t="shared" si="2"/>
        <v>1</v>
      </c>
      <c r="AB89">
        <v>87.7</v>
      </c>
      <c r="AC89" s="3">
        <v>0</v>
      </c>
    </row>
    <row r="90" spans="1:29" x14ac:dyDescent="0.3">
      <c r="A90" s="1">
        <f t="shared" si="3"/>
        <v>89</v>
      </c>
      <c r="B90">
        <v>2</v>
      </c>
      <c r="C90">
        <v>605.5</v>
      </c>
      <c r="D90">
        <v>202.3</v>
      </c>
      <c r="E90">
        <v>152.4</v>
      </c>
      <c r="F90">
        <v>165</v>
      </c>
      <c r="G90">
        <v>24</v>
      </c>
      <c r="H90">
        <v>56</v>
      </c>
      <c r="I90">
        <v>872</v>
      </c>
      <c r="J90">
        <v>20.62</v>
      </c>
      <c r="K90">
        <v>8.25</v>
      </c>
      <c r="L90">
        <v>0.29220000000000002</v>
      </c>
      <c r="M90">
        <v>6.0000000000000001E-3</v>
      </c>
      <c r="N90">
        <v>0.57720000000000005</v>
      </c>
      <c r="O90">
        <v>1.1552</v>
      </c>
      <c r="P90">
        <v>331.83</v>
      </c>
      <c r="Q90">
        <v>8355.33</v>
      </c>
      <c r="R90">
        <v>3.93</v>
      </c>
      <c r="S90">
        <v>19.739999999999998</v>
      </c>
      <c r="T90">
        <v>0.16120000000000001</v>
      </c>
      <c r="U90">
        <v>0.96909999999999996</v>
      </c>
      <c r="V90">
        <v>8.8163</v>
      </c>
      <c r="W90">
        <v>0.88849999999999996</v>
      </c>
      <c r="X90">
        <v>0.1236</v>
      </c>
      <c r="Y90">
        <v>1.4984999999999999</v>
      </c>
      <c r="Z90">
        <v>91.8</v>
      </c>
      <c r="AA90" s="2">
        <f t="shared" si="2"/>
        <v>1</v>
      </c>
      <c r="AB90">
        <v>85.8</v>
      </c>
      <c r="AC90" s="3">
        <v>0</v>
      </c>
    </row>
    <row r="91" spans="1:29" x14ac:dyDescent="0.3">
      <c r="A91" s="1">
        <f t="shared" si="3"/>
        <v>90</v>
      </c>
      <c r="B91">
        <v>2</v>
      </c>
      <c r="C91">
        <v>543.70000000000005</v>
      </c>
      <c r="D91">
        <v>111.2</v>
      </c>
      <c r="E91">
        <v>105.3</v>
      </c>
      <c r="F91">
        <v>150</v>
      </c>
      <c r="G91">
        <v>30</v>
      </c>
      <c r="H91">
        <v>59</v>
      </c>
      <c r="I91">
        <v>446</v>
      </c>
      <c r="J91">
        <v>38.51</v>
      </c>
      <c r="K91">
        <v>24.03</v>
      </c>
      <c r="L91">
        <v>0.15920000000000001</v>
      </c>
      <c r="M91">
        <v>1.2999999999999999E-3</v>
      </c>
      <c r="N91">
        <v>0.3427</v>
      </c>
      <c r="O91">
        <v>0.87849999999999995</v>
      </c>
      <c r="P91">
        <v>378.71</v>
      </c>
      <c r="Q91">
        <v>8064.98</v>
      </c>
      <c r="R91">
        <v>3.7</v>
      </c>
      <c r="S91">
        <v>28.93</v>
      </c>
      <c r="T91">
        <v>0.3911</v>
      </c>
      <c r="U91">
        <v>0.87539999999999996</v>
      </c>
      <c r="V91">
        <v>5.8434999999999997</v>
      </c>
      <c r="W91">
        <v>0.58169999999999999</v>
      </c>
      <c r="X91">
        <v>6.0900000000000003E-2</v>
      </c>
      <c r="Y91">
        <v>0.99229999999999996</v>
      </c>
      <c r="Z91">
        <v>81.7</v>
      </c>
      <c r="AA91" s="2">
        <f t="shared" si="2"/>
        <v>0</v>
      </c>
      <c r="AB91">
        <v>84.8</v>
      </c>
      <c r="AC91" s="3">
        <v>0</v>
      </c>
    </row>
    <row r="92" spans="1:29" x14ac:dyDescent="0.3">
      <c r="A92" s="1">
        <f t="shared" si="3"/>
        <v>91</v>
      </c>
      <c r="B92">
        <v>2</v>
      </c>
      <c r="C92">
        <v>524.1</v>
      </c>
      <c r="D92">
        <v>210.2</v>
      </c>
      <c r="E92">
        <v>251.9</v>
      </c>
      <c r="F92">
        <v>260</v>
      </c>
      <c r="G92">
        <v>14</v>
      </c>
      <c r="H92">
        <v>65</v>
      </c>
      <c r="I92">
        <v>877</v>
      </c>
      <c r="J92">
        <v>29.1</v>
      </c>
      <c r="K92">
        <v>12.28</v>
      </c>
      <c r="L92">
        <v>0.24299999999999999</v>
      </c>
      <c r="M92">
        <v>8.8999999999999999E-3</v>
      </c>
      <c r="N92">
        <v>0.66010000000000002</v>
      </c>
      <c r="O92">
        <v>0.96089999999999998</v>
      </c>
      <c r="P92">
        <v>311.38</v>
      </c>
      <c r="Q92">
        <v>3669.28</v>
      </c>
      <c r="R92">
        <v>3.9</v>
      </c>
      <c r="S92">
        <v>26.06</v>
      </c>
      <c r="T92">
        <v>0.1651</v>
      </c>
      <c r="U92">
        <v>0.93769999999999998</v>
      </c>
      <c r="V92">
        <v>9.9087999999999994</v>
      </c>
      <c r="W92">
        <v>0.8972</v>
      </c>
      <c r="X92">
        <v>9.2899999999999996E-2</v>
      </c>
      <c r="Y92">
        <v>1.7663</v>
      </c>
      <c r="Z92">
        <v>95.7</v>
      </c>
      <c r="AA92" s="2">
        <f t="shared" si="2"/>
        <v>1</v>
      </c>
      <c r="AB92">
        <v>90.7</v>
      </c>
      <c r="AC92" s="3">
        <v>1</v>
      </c>
    </row>
    <row r="93" spans="1:29" x14ac:dyDescent="0.3">
      <c r="A93" s="1">
        <f t="shared" si="3"/>
        <v>92</v>
      </c>
      <c r="B93">
        <v>2</v>
      </c>
      <c r="C93">
        <v>1127.9000000000001</v>
      </c>
      <c r="D93">
        <v>282.5</v>
      </c>
      <c r="E93">
        <v>233.8</v>
      </c>
      <c r="F93">
        <v>200</v>
      </c>
      <c r="G93">
        <v>11</v>
      </c>
      <c r="H93">
        <v>50</v>
      </c>
      <c r="I93">
        <v>712</v>
      </c>
      <c r="J93">
        <v>23.94</v>
      </c>
      <c r="K93">
        <v>8.25</v>
      </c>
      <c r="L93">
        <v>0.32040000000000002</v>
      </c>
      <c r="M93">
        <v>4.4999999999999997E-3</v>
      </c>
      <c r="N93">
        <v>0.7954</v>
      </c>
      <c r="O93">
        <v>0.89429999999999998</v>
      </c>
      <c r="P93">
        <v>330.17</v>
      </c>
      <c r="Q93">
        <v>13318.83</v>
      </c>
      <c r="R93">
        <v>2.4300000000000002</v>
      </c>
      <c r="S93">
        <v>54.22</v>
      </c>
      <c r="T93">
        <v>0.15659999999999999</v>
      </c>
      <c r="U93">
        <v>1.1272</v>
      </c>
      <c r="V93">
        <v>14.807499999999999</v>
      </c>
      <c r="W93">
        <v>0.90859999999999996</v>
      </c>
      <c r="X93">
        <v>0.1305</v>
      </c>
      <c r="Y93">
        <v>3.3241999999999998</v>
      </c>
      <c r="Z93">
        <v>91.4</v>
      </c>
      <c r="AA93" s="2">
        <f t="shared" si="2"/>
        <v>1</v>
      </c>
      <c r="AB93">
        <v>94.6</v>
      </c>
      <c r="AC93" s="3">
        <v>1</v>
      </c>
    </row>
    <row r="94" spans="1:29" x14ac:dyDescent="0.3">
      <c r="A94" s="1">
        <f t="shared" si="3"/>
        <v>93</v>
      </c>
      <c r="B94">
        <v>1</v>
      </c>
      <c r="C94">
        <v>1055.8</v>
      </c>
      <c r="D94">
        <v>288.10000000000002</v>
      </c>
      <c r="E94">
        <v>233.7</v>
      </c>
      <c r="F94">
        <v>215</v>
      </c>
      <c r="G94">
        <v>11</v>
      </c>
      <c r="H94">
        <v>53</v>
      </c>
      <c r="I94">
        <v>711</v>
      </c>
      <c r="J94">
        <v>25.22</v>
      </c>
      <c r="K94">
        <v>8.18</v>
      </c>
      <c r="L94">
        <v>0.31809999999999999</v>
      </c>
      <c r="M94">
        <v>5.7999999999999996E-3</v>
      </c>
      <c r="N94">
        <v>0.79620000000000002</v>
      </c>
      <c r="O94">
        <v>0.94669999999999999</v>
      </c>
      <c r="P94">
        <v>310.07</v>
      </c>
      <c r="Q94">
        <v>10647.57</v>
      </c>
      <c r="R94">
        <v>2.4500000000000002</v>
      </c>
      <c r="S94">
        <v>51.67</v>
      </c>
      <c r="T94">
        <v>0.1547</v>
      </c>
      <c r="U94">
        <v>1.0145</v>
      </c>
      <c r="V94">
        <v>14.3817</v>
      </c>
      <c r="W94">
        <v>0.90820000000000001</v>
      </c>
      <c r="X94">
        <v>0.125</v>
      </c>
      <c r="Y94">
        <v>3.4725000000000001</v>
      </c>
      <c r="Z94">
        <v>97.5</v>
      </c>
      <c r="AA94" s="2">
        <f t="shared" si="2"/>
        <v>1</v>
      </c>
      <c r="AB94">
        <v>98.5</v>
      </c>
      <c r="AC94" s="3">
        <v>1</v>
      </c>
    </row>
    <row r="95" spans="1:29" x14ac:dyDescent="0.3">
      <c r="A95" s="1">
        <f t="shared" si="3"/>
        <v>94</v>
      </c>
      <c r="B95">
        <v>2</v>
      </c>
      <c r="C95">
        <v>921.6</v>
      </c>
      <c r="D95">
        <v>258.3</v>
      </c>
      <c r="E95">
        <v>176.6</v>
      </c>
      <c r="F95">
        <v>200</v>
      </c>
      <c r="G95">
        <v>18</v>
      </c>
      <c r="H95">
        <v>59</v>
      </c>
      <c r="I95">
        <v>1064</v>
      </c>
      <c r="J95">
        <v>20.3</v>
      </c>
      <c r="K95">
        <v>7</v>
      </c>
      <c r="L95">
        <v>0.30659999999999998</v>
      </c>
      <c r="M95">
        <v>1.1900000000000001E-2</v>
      </c>
      <c r="N95">
        <v>0.57950000000000002</v>
      </c>
      <c r="O95">
        <v>0.82110000000000005</v>
      </c>
      <c r="P95">
        <v>373.16</v>
      </c>
      <c r="Q95">
        <v>7974.78</v>
      </c>
      <c r="R95">
        <v>3.64</v>
      </c>
      <c r="S95">
        <v>25.46</v>
      </c>
      <c r="T95">
        <v>0.13189999999999999</v>
      </c>
      <c r="U95">
        <v>1.2674000000000001</v>
      </c>
      <c r="V95">
        <v>13.5144</v>
      </c>
      <c r="W95">
        <v>0.88959999999999995</v>
      </c>
      <c r="X95">
        <v>0.1172</v>
      </c>
      <c r="Y95">
        <v>1.6623000000000001</v>
      </c>
      <c r="Z95">
        <v>88</v>
      </c>
      <c r="AA95" s="2">
        <f t="shared" si="2"/>
        <v>0</v>
      </c>
      <c r="AB95">
        <v>89.2</v>
      </c>
      <c r="AC95" s="3">
        <v>0</v>
      </c>
    </row>
    <row r="96" spans="1:29" x14ac:dyDescent="0.3">
      <c r="A96" s="1">
        <f t="shared" si="3"/>
        <v>95</v>
      </c>
      <c r="B96">
        <v>2</v>
      </c>
      <c r="C96">
        <v>887.2</v>
      </c>
      <c r="D96">
        <v>197.7</v>
      </c>
      <c r="E96">
        <v>142.30000000000001</v>
      </c>
      <c r="F96">
        <v>125</v>
      </c>
      <c r="G96">
        <v>32</v>
      </c>
      <c r="H96">
        <v>57</v>
      </c>
      <c r="I96">
        <v>712</v>
      </c>
      <c r="J96">
        <v>27.72</v>
      </c>
      <c r="K96">
        <v>14.39</v>
      </c>
      <c r="L96">
        <v>0.2165</v>
      </c>
      <c r="M96">
        <v>3.5000000000000001E-3</v>
      </c>
      <c r="N96">
        <v>0.36830000000000002</v>
      </c>
      <c r="O96">
        <v>0.75309999999999999</v>
      </c>
      <c r="P96">
        <v>422.71</v>
      </c>
      <c r="Q96">
        <v>4908.33</v>
      </c>
      <c r="R96">
        <v>2.93</v>
      </c>
      <c r="S96">
        <v>15.9</v>
      </c>
      <c r="T96">
        <v>0.27900000000000003</v>
      </c>
      <c r="U96">
        <v>0.98939999999999995</v>
      </c>
      <c r="V96">
        <v>6.4996999999999998</v>
      </c>
      <c r="W96">
        <v>0.80089999999999995</v>
      </c>
      <c r="X96">
        <v>8.5900000000000004E-2</v>
      </c>
      <c r="Y96">
        <v>1.2943</v>
      </c>
      <c r="Z96">
        <v>88.2</v>
      </c>
      <c r="AA96" s="2">
        <f t="shared" si="2"/>
        <v>0</v>
      </c>
      <c r="AB96">
        <v>85.5</v>
      </c>
      <c r="AC96" s="3">
        <v>0</v>
      </c>
    </row>
    <row r="97" spans="1:29" x14ac:dyDescent="0.3">
      <c r="A97" s="1">
        <f t="shared" si="3"/>
        <v>96</v>
      </c>
      <c r="B97">
        <v>2</v>
      </c>
      <c r="C97">
        <v>858.8</v>
      </c>
      <c r="D97">
        <v>243.7</v>
      </c>
      <c r="E97">
        <v>205.8</v>
      </c>
      <c r="F97">
        <v>260</v>
      </c>
      <c r="G97">
        <v>13</v>
      </c>
      <c r="H97">
        <v>65</v>
      </c>
      <c r="I97">
        <v>1064</v>
      </c>
      <c r="J97">
        <v>24.43</v>
      </c>
      <c r="K97">
        <v>7.82</v>
      </c>
      <c r="L97">
        <v>0.31459999999999999</v>
      </c>
      <c r="M97">
        <v>5.4000000000000003E-3</v>
      </c>
      <c r="N97">
        <v>0.75660000000000005</v>
      </c>
      <c r="O97">
        <v>0.77800000000000002</v>
      </c>
      <c r="P97">
        <v>312.01</v>
      </c>
      <c r="Q97">
        <v>10584.02</v>
      </c>
      <c r="R97">
        <v>4.3600000000000003</v>
      </c>
      <c r="S97">
        <v>17.600000000000001</v>
      </c>
      <c r="T97">
        <v>0.13170000000000001</v>
      </c>
      <c r="U97">
        <v>1.4822</v>
      </c>
      <c r="V97">
        <v>18.044699999999999</v>
      </c>
      <c r="W97">
        <v>0.88060000000000005</v>
      </c>
      <c r="X97">
        <v>0.122</v>
      </c>
      <c r="Y97">
        <v>1.7867999999999999</v>
      </c>
      <c r="Z97">
        <v>87.8</v>
      </c>
      <c r="AA97" s="2">
        <f t="shared" si="2"/>
        <v>0</v>
      </c>
      <c r="AB97">
        <v>87.8</v>
      </c>
      <c r="AC97" s="3">
        <v>0</v>
      </c>
    </row>
    <row r="98" spans="1:29" x14ac:dyDescent="0.3">
      <c r="A98" s="1">
        <f t="shared" si="3"/>
        <v>97</v>
      </c>
      <c r="B98">
        <v>3</v>
      </c>
      <c r="C98">
        <v>703.7</v>
      </c>
      <c r="D98">
        <v>104.3</v>
      </c>
      <c r="E98">
        <v>164</v>
      </c>
      <c r="F98">
        <v>150</v>
      </c>
      <c r="G98">
        <v>11</v>
      </c>
      <c r="H98">
        <v>25</v>
      </c>
      <c r="I98">
        <v>310</v>
      </c>
      <c r="J98">
        <v>50.14</v>
      </c>
      <c r="K98">
        <v>34.619999999999997</v>
      </c>
      <c r="L98">
        <v>0.2006</v>
      </c>
      <c r="M98">
        <v>0</v>
      </c>
      <c r="N98">
        <v>0.43890000000000001</v>
      </c>
      <c r="O98">
        <v>0.70860000000000001</v>
      </c>
      <c r="P98">
        <v>420.96</v>
      </c>
      <c r="Q98">
        <v>4760.7</v>
      </c>
      <c r="R98">
        <v>2.76</v>
      </c>
      <c r="S98">
        <v>53.02</v>
      </c>
      <c r="T98">
        <v>0.3095</v>
      </c>
      <c r="U98">
        <v>1.2221</v>
      </c>
      <c r="V98">
        <v>4.1064999999999996</v>
      </c>
      <c r="W98">
        <v>0.67</v>
      </c>
      <c r="X98">
        <v>4.7500000000000001E-2</v>
      </c>
      <c r="Y98">
        <v>1.583</v>
      </c>
      <c r="Z98">
        <v>97.1</v>
      </c>
      <c r="AA98" s="2">
        <f t="shared" si="2"/>
        <v>1</v>
      </c>
      <c r="AB98">
        <v>98</v>
      </c>
      <c r="AC98" s="3">
        <v>1</v>
      </c>
    </row>
    <row r="99" spans="1:29" x14ac:dyDescent="0.3">
      <c r="A99" s="1">
        <f t="shared" si="3"/>
        <v>98</v>
      </c>
      <c r="B99">
        <v>3</v>
      </c>
      <c r="C99">
        <v>1784.4</v>
      </c>
      <c r="D99">
        <v>306</v>
      </c>
      <c r="E99">
        <v>166.7</v>
      </c>
      <c r="F99">
        <v>160</v>
      </c>
      <c r="G99">
        <v>12</v>
      </c>
      <c r="H99">
        <v>27</v>
      </c>
      <c r="I99">
        <v>480</v>
      </c>
      <c r="J99">
        <v>31.65</v>
      </c>
      <c r="K99">
        <v>16.87</v>
      </c>
      <c r="L99">
        <v>0.26350000000000001</v>
      </c>
      <c r="M99">
        <v>0</v>
      </c>
      <c r="N99">
        <v>0.41470000000000001</v>
      </c>
      <c r="O99">
        <v>0.44350000000000001</v>
      </c>
      <c r="P99">
        <v>412.46</v>
      </c>
      <c r="Q99">
        <v>8505.2999999999993</v>
      </c>
      <c r="R99">
        <v>1.45</v>
      </c>
      <c r="S99">
        <v>36.869999999999997</v>
      </c>
      <c r="T99">
        <v>0.20250000000000001</v>
      </c>
      <c r="U99">
        <v>1.1005</v>
      </c>
      <c r="V99">
        <v>6.1687000000000003</v>
      </c>
      <c r="W99">
        <v>0.82969999999999999</v>
      </c>
      <c r="X99">
        <v>7.0400000000000004E-2</v>
      </c>
      <c r="Y99">
        <v>3.0329999999999999</v>
      </c>
      <c r="Z99">
        <v>95.4</v>
      </c>
      <c r="AA99" s="2">
        <f t="shared" si="2"/>
        <v>1</v>
      </c>
      <c r="AB99">
        <v>93.5</v>
      </c>
      <c r="AC99" s="3">
        <v>1</v>
      </c>
    </row>
    <row r="100" spans="1:29" x14ac:dyDescent="0.3">
      <c r="A100" s="1">
        <f t="shared" si="3"/>
        <v>99</v>
      </c>
      <c r="B100">
        <v>1</v>
      </c>
      <c r="C100">
        <v>1032.9000000000001</v>
      </c>
      <c r="D100">
        <v>222.2</v>
      </c>
      <c r="E100">
        <v>118.5</v>
      </c>
      <c r="F100">
        <v>115</v>
      </c>
      <c r="G100">
        <v>22</v>
      </c>
      <c r="H100">
        <v>44</v>
      </c>
      <c r="I100">
        <v>712</v>
      </c>
      <c r="J100">
        <v>17.84</v>
      </c>
      <c r="K100">
        <v>8.51</v>
      </c>
      <c r="L100">
        <v>0.30109999999999998</v>
      </c>
      <c r="M100">
        <v>2.3999999999999998E-3</v>
      </c>
      <c r="N100">
        <v>0.41339999999999999</v>
      </c>
      <c r="O100">
        <v>1.3565</v>
      </c>
      <c r="P100">
        <v>358.7</v>
      </c>
      <c r="Q100">
        <v>10168.49</v>
      </c>
      <c r="R100">
        <v>3.11</v>
      </c>
      <c r="S100">
        <v>90.1</v>
      </c>
      <c r="T100">
        <v>0.2046</v>
      </c>
      <c r="U100">
        <v>0.75519999999999998</v>
      </c>
      <c r="V100">
        <v>8.7375000000000007</v>
      </c>
      <c r="W100">
        <v>0.88539999999999996</v>
      </c>
      <c r="X100">
        <v>0.13439999999999999</v>
      </c>
      <c r="Y100">
        <v>1.4513</v>
      </c>
      <c r="Z100">
        <v>92.2</v>
      </c>
      <c r="AA100" s="2">
        <f t="shared" si="2"/>
        <v>1</v>
      </c>
      <c r="AB100">
        <v>93.9</v>
      </c>
      <c r="AC100" s="3">
        <v>1</v>
      </c>
    </row>
    <row r="101" spans="1:29" x14ac:dyDescent="0.3">
      <c r="A101" s="1">
        <f t="shared" si="3"/>
        <v>100</v>
      </c>
      <c r="B101">
        <v>2</v>
      </c>
      <c r="C101">
        <v>1336.3</v>
      </c>
      <c r="D101">
        <v>280.5</v>
      </c>
      <c r="E101">
        <v>64.3</v>
      </c>
      <c r="F101">
        <v>60</v>
      </c>
      <c r="G101">
        <v>35</v>
      </c>
      <c r="H101">
        <v>46</v>
      </c>
      <c r="I101">
        <v>1068</v>
      </c>
      <c r="J101">
        <v>15.22</v>
      </c>
      <c r="K101">
        <v>8.8699999999999992</v>
      </c>
      <c r="L101">
        <v>0.51239999999999997</v>
      </c>
      <c r="M101">
        <v>1.0200000000000001E-2</v>
      </c>
      <c r="N101">
        <v>0.68130000000000002</v>
      </c>
      <c r="O101">
        <v>0.98260000000000003</v>
      </c>
      <c r="P101">
        <v>388.48</v>
      </c>
      <c r="Q101">
        <v>6586.24</v>
      </c>
      <c r="R101">
        <v>3.47</v>
      </c>
      <c r="S101">
        <v>35.58</v>
      </c>
      <c r="T101">
        <v>0.13739999999999999</v>
      </c>
      <c r="U101">
        <v>1.0731999999999999</v>
      </c>
      <c r="V101">
        <v>6.9577</v>
      </c>
      <c r="W101">
        <v>0.80830000000000002</v>
      </c>
      <c r="X101">
        <v>0.24629999999999999</v>
      </c>
      <c r="Y101">
        <v>1.9478</v>
      </c>
      <c r="Z101">
        <v>74.8</v>
      </c>
      <c r="AA101" s="2">
        <f t="shared" si="2"/>
        <v>0</v>
      </c>
      <c r="AB101">
        <v>69.8</v>
      </c>
      <c r="AC101" s="3">
        <v>0</v>
      </c>
    </row>
    <row r="102" spans="1:29" x14ac:dyDescent="0.3">
      <c r="A102" s="1">
        <f t="shared" si="3"/>
        <v>101</v>
      </c>
      <c r="B102">
        <v>2</v>
      </c>
      <c r="C102">
        <v>792.3</v>
      </c>
      <c r="D102">
        <v>179</v>
      </c>
      <c r="E102">
        <v>183.4</v>
      </c>
      <c r="F102">
        <v>210</v>
      </c>
      <c r="G102">
        <v>20</v>
      </c>
      <c r="H102">
        <v>61</v>
      </c>
      <c r="I102">
        <v>712</v>
      </c>
      <c r="J102">
        <v>22.36</v>
      </c>
      <c r="K102">
        <v>8.44</v>
      </c>
      <c r="L102">
        <v>0.29470000000000002</v>
      </c>
      <c r="M102">
        <v>7.9000000000000008E-3</v>
      </c>
      <c r="N102">
        <v>0.60089999999999999</v>
      </c>
      <c r="O102">
        <v>0.84330000000000005</v>
      </c>
      <c r="P102">
        <v>377.11</v>
      </c>
      <c r="Q102">
        <v>12624.34</v>
      </c>
      <c r="R102">
        <v>3.6</v>
      </c>
      <c r="S102">
        <v>47.18</v>
      </c>
      <c r="T102">
        <v>0.14230000000000001</v>
      </c>
      <c r="U102">
        <v>1.4765999999999999</v>
      </c>
      <c r="V102">
        <v>10.635</v>
      </c>
      <c r="W102">
        <v>0.88290000000000002</v>
      </c>
      <c r="X102">
        <v>0.11609999999999999</v>
      </c>
      <c r="Y102">
        <v>1.7396</v>
      </c>
      <c r="Z102">
        <v>91.3</v>
      </c>
      <c r="AA102" s="2">
        <f t="shared" si="2"/>
        <v>1</v>
      </c>
      <c r="AB102">
        <v>94.2</v>
      </c>
      <c r="AC102" s="3">
        <v>1</v>
      </c>
    </row>
    <row r="103" spans="1:29" x14ac:dyDescent="0.3">
      <c r="A103" s="1">
        <f t="shared" si="3"/>
        <v>102</v>
      </c>
      <c r="B103">
        <v>2</v>
      </c>
      <c r="C103">
        <v>1090.4000000000001</v>
      </c>
      <c r="D103">
        <v>272.3</v>
      </c>
      <c r="E103">
        <v>226.2</v>
      </c>
      <c r="F103">
        <v>260</v>
      </c>
      <c r="G103">
        <v>17</v>
      </c>
      <c r="H103">
        <v>68</v>
      </c>
      <c r="I103">
        <v>1064</v>
      </c>
      <c r="J103">
        <v>17.59</v>
      </c>
      <c r="K103">
        <v>6.35</v>
      </c>
      <c r="L103">
        <v>0.33439999999999998</v>
      </c>
      <c r="M103">
        <v>7.9000000000000008E-3</v>
      </c>
      <c r="N103">
        <v>0.57399999999999995</v>
      </c>
      <c r="O103">
        <v>0.84050000000000002</v>
      </c>
      <c r="P103">
        <v>377.22</v>
      </c>
      <c r="Q103">
        <v>11573.25</v>
      </c>
      <c r="R103">
        <v>3.44</v>
      </c>
      <c r="S103">
        <v>50.35</v>
      </c>
      <c r="T103">
        <v>0.1018</v>
      </c>
      <c r="U103">
        <v>1.4362999999999999</v>
      </c>
      <c r="V103">
        <v>17.044599999999999</v>
      </c>
      <c r="W103">
        <v>0.93620000000000003</v>
      </c>
      <c r="X103">
        <v>0.13519999999999999</v>
      </c>
      <c r="Y103">
        <v>1.7628999999999999</v>
      </c>
      <c r="Z103">
        <v>84.9</v>
      </c>
      <c r="AA103" s="2">
        <f t="shared" si="2"/>
        <v>0</v>
      </c>
      <c r="AB103">
        <v>83.9</v>
      </c>
      <c r="AC103" s="3">
        <v>0</v>
      </c>
    </row>
    <row r="104" spans="1:29" x14ac:dyDescent="0.3">
      <c r="A104" s="1">
        <f t="shared" si="3"/>
        <v>103</v>
      </c>
      <c r="B104">
        <v>2</v>
      </c>
      <c r="C104">
        <v>1119.4000000000001</v>
      </c>
      <c r="D104">
        <v>276.8</v>
      </c>
      <c r="E104">
        <v>199.6</v>
      </c>
      <c r="F104">
        <v>245</v>
      </c>
      <c r="G104">
        <v>19</v>
      </c>
      <c r="H104">
        <v>68</v>
      </c>
      <c r="I104">
        <v>1064</v>
      </c>
      <c r="J104">
        <v>16.34</v>
      </c>
      <c r="K104">
        <v>5.97</v>
      </c>
      <c r="L104">
        <v>0.34010000000000001</v>
      </c>
      <c r="M104">
        <v>8.6999999999999994E-3</v>
      </c>
      <c r="N104">
        <v>0.52590000000000003</v>
      </c>
      <c r="O104">
        <v>0.86550000000000005</v>
      </c>
      <c r="P104">
        <v>379.86</v>
      </c>
      <c r="Q104">
        <v>14697.78</v>
      </c>
      <c r="R104">
        <v>3.37</v>
      </c>
      <c r="S104">
        <v>61.2</v>
      </c>
      <c r="T104">
        <v>0.104</v>
      </c>
      <c r="U104">
        <v>1.4818</v>
      </c>
      <c r="V104">
        <v>16.673400000000001</v>
      </c>
      <c r="W104">
        <v>0.93799999999999994</v>
      </c>
      <c r="X104">
        <v>0.1394</v>
      </c>
      <c r="Y104">
        <v>1.6789000000000001</v>
      </c>
      <c r="Z104">
        <v>86</v>
      </c>
      <c r="AA104" s="2">
        <f t="shared" si="2"/>
        <v>0</v>
      </c>
      <c r="AB104">
        <v>87.5</v>
      </c>
      <c r="AC104" s="3">
        <v>0</v>
      </c>
    </row>
    <row r="105" spans="1:29" x14ac:dyDescent="0.3">
      <c r="A105" s="1">
        <f t="shared" si="3"/>
        <v>104</v>
      </c>
      <c r="B105">
        <v>3</v>
      </c>
      <c r="C105">
        <v>317.7</v>
      </c>
      <c r="D105">
        <v>66.900000000000006</v>
      </c>
      <c r="E105">
        <v>189.2</v>
      </c>
      <c r="F105">
        <v>140</v>
      </c>
      <c r="G105">
        <v>13</v>
      </c>
      <c r="H105">
        <v>26</v>
      </c>
      <c r="I105">
        <v>276</v>
      </c>
      <c r="J105">
        <v>50.43</v>
      </c>
      <c r="K105">
        <v>32.82</v>
      </c>
      <c r="L105">
        <v>0.1709</v>
      </c>
      <c r="M105">
        <v>0</v>
      </c>
      <c r="N105">
        <v>0.52239999999999998</v>
      </c>
      <c r="O105">
        <v>0.62560000000000004</v>
      </c>
      <c r="P105">
        <v>353.86</v>
      </c>
      <c r="Q105">
        <v>8030.44</v>
      </c>
      <c r="R105">
        <v>3.87</v>
      </c>
      <c r="S105">
        <v>21.34</v>
      </c>
      <c r="T105">
        <v>0.35659999999999997</v>
      </c>
      <c r="U105">
        <v>1.2547999999999999</v>
      </c>
      <c r="V105">
        <v>3.2246999999999999</v>
      </c>
      <c r="W105">
        <v>0.71509999999999996</v>
      </c>
      <c r="X105">
        <v>4.02E-2</v>
      </c>
      <c r="Y105">
        <v>1.4507000000000001</v>
      </c>
      <c r="Z105">
        <v>89</v>
      </c>
      <c r="AA105" s="2">
        <f t="shared" si="2"/>
        <v>0</v>
      </c>
      <c r="AB105">
        <v>93.6</v>
      </c>
      <c r="AC105" s="3">
        <v>1</v>
      </c>
    </row>
    <row r="106" spans="1:29" x14ac:dyDescent="0.3">
      <c r="A106" s="1">
        <f t="shared" si="3"/>
        <v>105</v>
      </c>
      <c r="B106">
        <v>3</v>
      </c>
      <c r="C106">
        <v>477.5</v>
      </c>
      <c r="D106">
        <v>117.3</v>
      </c>
      <c r="E106">
        <v>208.6</v>
      </c>
      <c r="F106">
        <v>210</v>
      </c>
      <c r="G106">
        <v>10</v>
      </c>
      <c r="H106">
        <v>31</v>
      </c>
      <c r="I106">
        <v>489</v>
      </c>
      <c r="J106">
        <v>45.13</v>
      </c>
      <c r="K106">
        <v>28.81</v>
      </c>
      <c r="L106">
        <v>0.1908</v>
      </c>
      <c r="M106">
        <v>0</v>
      </c>
      <c r="N106">
        <v>0.59299999999999997</v>
      </c>
      <c r="O106">
        <v>0.67520000000000002</v>
      </c>
      <c r="P106">
        <v>333.55</v>
      </c>
      <c r="Q106">
        <v>3380.26</v>
      </c>
      <c r="R106">
        <v>3.83</v>
      </c>
      <c r="S106">
        <v>11.38</v>
      </c>
      <c r="T106">
        <v>0.29139999999999999</v>
      </c>
      <c r="U106">
        <v>1.0961000000000001</v>
      </c>
      <c r="V106">
        <v>5.4471999999999996</v>
      </c>
      <c r="W106">
        <v>0.75219999999999998</v>
      </c>
      <c r="X106">
        <v>4.2700000000000002E-2</v>
      </c>
      <c r="Y106">
        <v>1.6244000000000001</v>
      </c>
      <c r="Z106">
        <v>98.8</v>
      </c>
      <c r="AA106" s="2">
        <f t="shared" si="2"/>
        <v>1</v>
      </c>
      <c r="AB106">
        <v>96</v>
      </c>
      <c r="AC106" s="3">
        <v>1</v>
      </c>
    </row>
    <row r="107" spans="1:29" x14ac:dyDescent="0.3">
      <c r="A107" s="1">
        <f t="shared" si="3"/>
        <v>106</v>
      </c>
      <c r="B107">
        <v>2</v>
      </c>
      <c r="C107">
        <v>904.5</v>
      </c>
      <c r="D107">
        <v>373.7</v>
      </c>
      <c r="E107">
        <v>242.6</v>
      </c>
      <c r="F107">
        <v>255</v>
      </c>
      <c r="G107">
        <v>17</v>
      </c>
      <c r="H107">
        <v>67</v>
      </c>
      <c r="I107">
        <v>1064</v>
      </c>
      <c r="J107">
        <v>23.77</v>
      </c>
      <c r="K107">
        <v>7.77</v>
      </c>
      <c r="L107">
        <v>0.30969999999999998</v>
      </c>
      <c r="M107">
        <v>6.1999999999999998E-3</v>
      </c>
      <c r="N107">
        <v>0.86819999999999997</v>
      </c>
      <c r="O107">
        <v>0.7429</v>
      </c>
      <c r="P107">
        <v>252.55</v>
      </c>
      <c r="Q107">
        <v>6694.07</v>
      </c>
      <c r="R107">
        <v>2.69</v>
      </c>
      <c r="S107">
        <v>61.7</v>
      </c>
      <c r="T107">
        <v>0.13009999999999999</v>
      </c>
      <c r="U107">
        <v>1.1415999999999999</v>
      </c>
      <c r="V107">
        <v>16.055299999999999</v>
      </c>
      <c r="W107">
        <v>0.90700000000000003</v>
      </c>
      <c r="X107">
        <v>0.1207</v>
      </c>
      <c r="Y107">
        <v>3.3347000000000002</v>
      </c>
      <c r="Z107">
        <v>84.9</v>
      </c>
      <c r="AA107" s="2">
        <f t="shared" si="2"/>
        <v>0</v>
      </c>
      <c r="AB107">
        <v>81</v>
      </c>
      <c r="AC107" s="3">
        <v>0</v>
      </c>
    </row>
    <row r="108" spans="1:29" x14ac:dyDescent="0.3">
      <c r="A108" s="1">
        <f t="shared" si="3"/>
        <v>107</v>
      </c>
      <c r="B108">
        <v>2</v>
      </c>
      <c r="C108">
        <v>664.2</v>
      </c>
      <c r="D108">
        <v>169</v>
      </c>
      <c r="E108">
        <v>132</v>
      </c>
      <c r="F108">
        <v>120</v>
      </c>
      <c r="G108">
        <v>27</v>
      </c>
      <c r="H108">
        <v>50</v>
      </c>
      <c r="I108">
        <v>712</v>
      </c>
      <c r="J108">
        <v>27.66</v>
      </c>
      <c r="K108">
        <v>18.73</v>
      </c>
      <c r="L108">
        <v>0.17499999999999999</v>
      </c>
      <c r="M108">
        <v>2.0000000000000001E-4</v>
      </c>
      <c r="N108">
        <v>0.59309999999999996</v>
      </c>
      <c r="O108">
        <v>1.2082999999999999</v>
      </c>
      <c r="P108">
        <v>336.29</v>
      </c>
      <c r="Q108">
        <v>12953.52</v>
      </c>
      <c r="R108">
        <v>4.16</v>
      </c>
      <c r="S108">
        <v>48.15</v>
      </c>
      <c r="T108">
        <v>0.27710000000000001</v>
      </c>
      <c r="U108">
        <v>1.1915</v>
      </c>
      <c r="V108">
        <v>4.3548999999999998</v>
      </c>
      <c r="W108">
        <v>0.84379999999999999</v>
      </c>
      <c r="X108">
        <v>7.9500000000000001E-2</v>
      </c>
      <c r="Y108">
        <v>1.6215999999999999</v>
      </c>
      <c r="Z108">
        <v>88.7</v>
      </c>
      <c r="AA108" s="2">
        <f t="shared" si="2"/>
        <v>0</v>
      </c>
      <c r="AB108">
        <v>77.900000000000006</v>
      </c>
      <c r="AC108" s="3">
        <v>0</v>
      </c>
    </row>
    <row r="109" spans="1:29" x14ac:dyDescent="0.3">
      <c r="A109" s="1">
        <f t="shared" si="3"/>
        <v>108</v>
      </c>
      <c r="B109">
        <v>3</v>
      </c>
      <c r="C109">
        <v>632.20000000000005</v>
      </c>
      <c r="D109">
        <v>124.9</v>
      </c>
      <c r="E109">
        <v>130.30000000000001</v>
      </c>
      <c r="F109">
        <v>170</v>
      </c>
      <c r="G109">
        <v>13</v>
      </c>
      <c r="H109">
        <v>29</v>
      </c>
      <c r="I109">
        <v>492</v>
      </c>
      <c r="J109">
        <v>39.44</v>
      </c>
      <c r="K109">
        <v>30.93</v>
      </c>
      <c r="L109">
        <v>0.1293</v>
      </c>
      <c r="M109">
        <v>0</v>
      </c>
      <c r="N109">
        <v>0.25850000000000001</v>
      </c>
      <c r="O109">
        <v>1.0344</v>
      </c>
      <c r="P109">
        <v>372.67</v>
      </c>
      <c r="Q109">
        <v>8384.1</v>
      </c>
      <c r="R109">
        <v>3.62</v>
      </c>
      <c r="S109">
        <v>41.49</v>
      </c>
      <c r="T109">
        <v>0.38890000000000002</v>
      </c>
      <c r="U109">
        <v>0.81540000000000001</v>
      </c>
      <c r="V109">
        <v>3.5522</v>
      </c>
      <c r="W109">
        <v>0.66810000000000003</v>
      </c>
      <c r="X109">
        <v>3.2500000000000001E-2</v>
      </c>
      <c r="Y109">
        <v>0.77710000000000001</v>
      </c>
      <c r="Z109">
        <v>93.4</v>
      </c>
      <c r="AA109" s="2">
        <f t="shared" si="2"/>
        <v>1</v>
      </c>
      <c r="AB109">
        <v>95.9</v>
      </c>
      <c r="AC109" s="3">
        <v>1</v>
      </c>
    </row>
    <row r="110" spans="1:29" x14ac:dyDescent="0.3">
      <c r="A110" s="1">
        <f t="shared" si="3"/>
        <v>109</v>
      </c>
      <c r="B110">
        <v>2</v>
      </c>
      <c r="C110">
        <v>1040.4000000000001</v>
      </c>
      <c r="D110">
        <v>157.30000000000001</v>
      </c>
      <c r="E110">
        <v>85.3</v>
      </c>
      <c r="F110">
        <v>95</v>
      </c>
      <c r="G110">
        <v>33</v>
      </c>
      <c r="H110">
        <v>51</v>
      </c>
      <c r="I110">
        <v>370</v>
      </c>
      <c r="J110">
        <v>17.45</v>
      </c>
      <c r="K110">
        <v>9.0299999999999994</v>
      </c>
      <c r="L110">
        <v>0.2737</v>
      </c>
      <c r="M110">
        <v>7.9000000000000008E-3</v>
      </c>
      <c r="N110">
        <v>0.24160000000000001</v>
      </c>
      <c r="O110">
        <v>0.87629999999999997</v>
      </c>
      <c r="P110">
        <v>438.9</v>
      </c>
      <c r="Q110">
        <v>10448.27</v>
      </c>
      <c r="R110">
        <v>2</v>
      </c>
      <c r="S110">
        <v>98.29</v>
      </c>
      <c r="T110">
        <v>0.22800000000000001</v>
      </c>
      <c r="U110">
        <v>1.2396</v>
      </c>
      <c r="V110">
        <v>6.5941999999999998</v>
      </c>
      <c r="W110">
        <v>0.77649999999999997</v>
      </c>
      <c r="X110">
        <v>0.11940000000000001</v>
      </c>
      <c r="Y110">
        <v>1.2547999999999999</v>
      </c>
      <c r="Z110">
        <v>81.599999999999994</v>
      </c>
      <c r="AA110" s="2">
        <f t="shared" si="2"/>
        <v>0</v>
      </c>
      <c r="AB110">
        <v>79.8</v>
      </c>
      <c r="AC110" s="3">
        <v>0</v>
      </c>
    </row>
    <row r="111" spans="1:29" x14ac:dyDescent="0.3">
      <c r="A111" s="1">
        <f t="shared" si="3"/>
        <v>110</v>
      </c>
      <c r="B111">
        <v>2</v>
      </c>
      <c r="C111">
        <v>867.6</v>
      </c>
      <c r="D111">
        <v>198.5</v>
      </c>
      <c r="E111">
        <v>133.5</v>
      </c>
      <c r="F111">
        <v>135</v>
      </c>
      <c r="G111">
        <v>32</v>
      </c>
      <c r="H111">
        <v>58</v>
      </c>
      <c r="I111">
        <v>712</v>
      </c>
      <c r="J111">
        <v>19.170000000000002</v>
      </c>
      <c r="K111">
        <v>9.33</v>
      </c>
      <c r="L111">
        <v>0.28110000000000002</v>
      </c>
      <c r="M111">
        <v>2.0999999999999999E-3</v>
      </c>
      <c r="N111">
        <v>0.31890000000000002</v>
      </c>
      <c r="O111">
        <v>0.92630000000000001</v>
      </c>
      <c r="P111">
        <v>397.82</v>
      </c>
      <c r="Q111">
        <v>5002.3500000000004</v>
      </c>
      <c r="R111">
        <v>2.86</v>
      </c>
      <c r="S111">
        <v>28.94</v>
      </c>
      <c r="T111">
        <v>0.1784</v>
      </c>
      <c r="U111">
        <v>1.0409999999999999</v>
      </c>
      <c r="V111">
        <v>7.8743999999999996</v>
      </c>
      <c r="W111">
        <v>0.87860000000000005</v>
      </c>
      <c r="X111">
        <v>0.1187</v>
      </c>
      <c r="Y111">
        <v>1.1175999999999999</v>
      </c>
      <c r="Z111">
        <v>92.6</v>
      </c>
      <c r="AA111" s="2">
        <f t="shared" si="2"/>
        <v>1</v>
      </c>
      <c r="AB111">
        <v>90.3</v>
      </c>
      <c r="AC111" s="3">
        <v>1</v>
      </c>
    </row>
    <row r="112" spans="1:29" x14ac:dyDescent="0.3">
      <c r="A112" s="1">
        <f t="shared" si="3"/>
        <v>111</v>
      </c>
      <c r="B112">
        <v>2</v>
      </c>
      <c r="C112">
        <v>804.2</v>
      </c>
      <c r="D112">
        <v>220.3</v>
      </c>
      <c r="E112">
        <v>219</v>
      </c>
      <c r="F112">
        <v>205</v>
      </c>
      <c r="G112">
        <v>21</v>
      </c>
      <c r="H112">
        <v>62</v>
      </c>
      <c r="I112">
        <v>712</v>
      </c>
      <c r="J112">
        <v>25.02</v>
      </c>
      <c r="K112">
        <v>10.119999999999999</v>
      </c>
      <c r="L112">
        <v>0.28670000000000001</v>
      </c>
      <c r="M112">
        <v>6.1000000000000004E-3</v>
      </c>
      <c r="N112">
        <v>0.88680000000000003</v>
      </c>
      <c r="O112">
        <v>0.78120000000000001</v>
      </c>
      <c r="P112">
        <v>329.63</v>
      </c>
      <c r="Q112">
        <v>9431</v>
      </c>
      <c r="R112">
        <v>3.02</v>
      </c>
      <c r="S112">
        <v>37.17</v>
      </c>
      <c r="T112">
        <v>0.16789999999999999</v>
      </c>
      <c r="U112">
        <v>1.2609999999999999</v>
      </c>
      <c r="V112">
        <v>13.7135</v>
      </c>
      <c r="W112">
        <v>0.86829999999999996</v>
      </c>
      <c r="X112">
        <v>0.1128</v>
      </c>
      <c r="Y112">
        <v>3.0701999999999998</v>
      </c>
      <c r="Z112">
        <v>92</v>
      </c>
      <c r="AA112" s="2">
        <f t="shared" si="2"/>
        <v>1</v>
      </c>
      <c r="AB112">
        <v>89.4</v>
      </c>
      <c r="AC112" s="3">
        <v>0</v>
      </c>
    </row>
    <row r="113" spans="1:29" x14ac:dyDescent="0.3">
      <c r="A113" s="1">
        <f t="shared" si="3"/>
        <v>112</v>
      </c>
      <c r="B113">
        <v>2</v>
      </c>
      <c r="C113">
        <v>678.4</v>
      </c>
      <c r="D113">
        <v>175.2</v>
      </c>
      <c r="E113">
        <v>179</v>
      </c>
      <c r="F113">
        <v>210</v>
      </c>
      <c r="G113">
        <v>18</v>
      </c>
      <c r="H113">
        <v>61</v>
      </c>
      <c r="I113">
        <v>712</v>
      </c>
      <c r="J113">
        <v>21.75</v>
      </c>
      <c r="K113">
        <v>9.2100000000000009</v>
      </c>
      <c r="L113">
        <v>0.30020000000000002</v>
      </c>
      <c r="M113">
        <v>1.04E-2</v>
      </c>
      <c r="N113">
        <v>0.6452</v>
      </c>
      <c r="O113">
        <v>0.93600000000000005</v>
      </c>
      <c r="P113">
        <v>366.81</v>
      </c>
      <c r="Q113">
        <v>11229.14</v>
      </c>
      <c r="R113">
        <v>3.61</v>
      </c>
      <c r="S113">
        <v>28.74</v>
      </c>
      <c r="T113">
        <v>0.13450000000000001</v>
      </c>
      <c r="U113">
        <v>1.2757000000000001</v>
      </c>
      <c r="V113">
        <v>13.5594</v>
      </c>
      <c r="W113">
        <v>0.88500000000000001</v>
      </c>
      <c r="X113">
        <v>0.1239</v>
      </c>
      <c r="Y113">
        <v>1.8552</v>
      </c>
      <c r="Z113">
        <v>98.3</v>
      </c>
      <c r="AA113" s="2">
        <f t="shared" si="2"/>
        <v>1</v>
      </c>
      <c r="AB113">
        <v>92.7</v>
      </c>
      <c r="AC113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DeFillippo, Greg</dc:creator>
  <cp:lastModifiedBy>Troy</cp:lastModifiedBy>
  <dcterms:created xsi:type="dcterms:W3CDTF">2023-04-07T21:41:07Z</dcterms:created>
  <dcterms:modified xsi:type="dcterms:W3CDTF">2025-11-08T22:12:16Z</dcterms:modified>
</cp:coreProperties>
</file>