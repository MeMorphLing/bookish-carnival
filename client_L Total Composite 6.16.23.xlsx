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ropbox\Troy\2020 NW\projects\3_proj_plan metric\complexity_code\3 zz_regression\"/>
    </mc:Choice>
  </mc:AlternateContent>
  <xr:revisionPtr revIDLastSave="0" documentId="13_ncr:9_{C1419EAD-34BE-4CE4-911C-8135FB6A0411}" xr6:coauthVersionLast="47" xr6:coauthVersionMax="47" xr10:uidLastSave="{00000000-0000-0000-0000-000000000000}"/>
  <bookViews>
    <workbookView xWindow="-108" yWindow="-108" windowWidth="23256" windowHeight="12456" xr2:uid="{C2F95E57-62C6-48C2-9E58-A3B91BCDC234}"/>
  </bookViews>
  <sheets>
    <sheet name="Lung Total Composite 6.16.23" sheetId="1" r:id="rId1"/>
  </sheets>
  <calcPr calcId="0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</calcChain>
</file>

<file path=xl/sharedStrings.xml><?xml version="1.0" encoding="utf-8"?>
<sst xmlns="http://schemas.openxmlformats.org/spreadsheetml/2006/main" count="29" uniqueCount="29">
  <si>
    <t xml:space="preserve"> MachineName</t>
  </si>
  <si>
    <t xml:space="preserve"> MU</t>
  </si>
  <si>
    <t xml:space="preserve"> beam-on time</t>
  </si>
  <si>
    <t xml:space="preserve"> FX</t>
  </si>
  <si>
    <t xml:space="preserve"> FY</t>
  </si>
  <si>
    <t xml:space="preserve"> lowerleaf</t>
  </si>
  <si>
    <t xml:space="preserve"> upperleaf</t>
  </si>
  <si>
    <t xml:space="preserve"> Arclength</t>
  </si>
  <si>
    <t xml:space="preserve"> meanMLCgap</t>
  </si>
  <si>
    <t xml:space="preserve"> Q1Gap</t>
  </si>
  <si>
    <t xml:space="preserve"> meanTGi</t>
  </si>
  <si>
    <t xml:space="preserve"> interdigitate</t>
  </si>
  <si>
    <t xml:space="preserve"> meanMLCSpeed</t>
  </si>
  <si>
    <t xml:space="preserve"> MLCSpeedModulation</t>
  </si>
  <si>
    <t xml:space="preserve"> meanRR</t>
  </si>
  <si>
    <t xml:space="preserve"> RRmodulation</t>
  </si>
  <si>
    <t xml:space="preserve"> meanGS</t>
  </si>
  <si>
    <t xml:space="preserve"> GSmodulation</t>
  </si>
  <si>
    <t xml:space="preserve"> MCS</t>
  </si>
  <si>
    <t xml:space="preserve"> MITotal</t>
  </si>
  <si>
    <t xml:space="preserve"> PI</t>
  </si>
  <si>
    <t xml:space="preserve"> PM</t>
  </si>
  <si>
    <t xml:space="preserve"> EdgeMetric</t>
  </si>
  <si>
    <t xml:space="preserve"> LT/AL</t>
  </si>
  <si>
    <t xml:space="preserve"> PID</t>
  </si>
  <si>
    <t>outcome_predict1(2p-2mm)</t>
  </si>
  <si>
    <t>outcome_predict1(2p-2mm_bin)</t>
  </si>
  <si>
    <t>outcome_predict2(T218)</t>
  </si>
  <si>
    <t>outcome_predict2(T218_90%_bin)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</si>
</sst>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3FEF-5CD7-4564-BC3D-10E004FDA5A9}">
  <dimension ref="A1:AC70"/>
  <sheetViews>
    <sheetView tabSelected="1" topLeftCell="X1" workbookViewId="0">
      <selection activeCell="AB1" sqref="AB1:AB1048576"/>
    </sheetView>
  </sheetViews>
  <sheetFormatPr defaultRowHeight="14.4" x14ac:dyDescent="0.3"/>
  <cols>
    <col min="26" max="26" width="13.21875" style="2" customWidth="1"/>
    <col min="27" max="27" width="14.33203125" style="1" customWidth="1"/>
    <col min="28" max="28" width="21.5546875" style="2" customWidth="1"/>
    <col min="29" max="29" width="24.6640625" style="1" customWidth="1"/>
  </cols>
  <sheetData>
    <row r="1" spans="1:29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s="2" t="s">
        <v>25</v>
      </c>
      <c r="AA1" s="1" t="s">
        <v>26</v>
      </c>
      <c r="AB1" s="2" t="s">
        <v>27</v>
      </c>
      <c r="AC1" s="1" t="s">
        <v>28</v>
      </c>
    </row>
    <row r="2" spans="1:29" x14ac:dyDescent="0.3">
      <c r="A2">
        <v>1</v>
      </c>
      <c r="B2">
        <v>2</v>
      </c>
      <c r="C2">
        <v>521.4</v>
      </c>
      <c r="D2">
        <v>199.7</v>
      </c>
      <c r="E2">
        <v>247.6</v>
      </c>
      <c r="F2">
        <v>220</v>
      </c>
      <c r="G2">
        <v>19</v>
      </c>
      <c r="H2">
        <v>62</v>
      </c>
      <c r="I2">
        <v>712</v>
      </c>
      <c r="J2">
        <v>47.58</v>
      </c>
      <c r="K2">
        <v>19.239999999999998</v>
      </c>
      <c r="L2">
        <v>0.23960000000000001</v>
      </c>
      <c r="M2">
        <v>4.1000000000000003E-3</v>
      </c>
      <c r="N2">
        <v>1.1264000000000001</v>
      </c>
      <c r="O2">
        <v>0.66500000000000004</v>
      </c>
      <c r="P2">
        <v>259.33999999999997</v>
      </c>
      <c r="Q2">
        <v>9109.74</v>
      </c>
      <c r="R2">
        <v>3.49</v>
      </c>
      <c r="S2">
        <v>10.41</v>
      </c>
      <c r="T2">
        <v>0.2208</v>
      </c>
      <c r="U2">
        <v>1.3008</v>
      </c>
      <c r="V2">
        <v>12.673500000000001</v>
      </c>
      <c r="W2">
        <v>0.78779999999999994</v>
      </c>
      <c r="X2">
        <v>8.6599999999999996E-2</v>
      </c>
      <c r="Y2">
        <v>3.5379</v>
      </c>
      <c r="Z2" s="2">
        <v>93.1</v>
      </c>
      <c r="AA2" s="1">
        <v>1</v>
      </c>
      <c r="AB2" s="2">
        <v>88</v>
      </c>
      <c r="AC2" s="1">
        <v>0</v>
      </c>
    </row>
    <row r="3" spans="1:29" x14ac:dyDescent="0.3">
      <c r="A3">
        <f>A2+1</f>
        <v>2</v>
      </c>
      <c r="B3">
        <v>2</v>
      </c>
      <c r="C3">
        <v>702.3</v>
      </c>
      <c r="D3">
        <v>163.30000000000001</v>
      </c>
      <c r="E3">
        <v>133.30000000000001</v>
      </c>
      <c r="F3">
        <v>155</v>
      </c>
      <c r="G3">
        <v>24</v>
      </c>
      <c r="H3">
        <v>55</v>
      </c>
      <c r="I3">
        <v>626</v>
      </c>
      <c r="J3">
        <v>21.22</v>
      </c>
      <c r="K3">
        <v>6.88</v>
      </c>
      <c r="L3">
        <v>0.26579999999999998</v>
      </c>
      <c r="M3">
        <v>1.21E-2</v>
      </c>
      <c r="N3">
        <v>0.43269999999999997</v>
      </c>
      <c r="O3">
        <v>0.90790000000000004</v>
      </c>
      <c r="P3">
        <v>401.95</v>
      </c>
      <c r="Q3">
        <v>8386.24</v>
      </c>
      <c r="R3">
        <v>3.27</v>
      </c>
      <c r="S3">
        <v>38.46</v>
      </c>
      <c r="T3">
        <v>0.19950000000000001</v>
      </c>
      <c r="U3">
        <v>1.0933999999999999</v>
      </c>
      <c r="V3">
        <v>9.1896000000000004</v>
      </c>
      <c r="W3">
        <v>0.83399999999999996</v>
      </c>
      <c r="X3">
        <v>0.10730000000000001</v>
      </c>
      <c r="Y3">
        <v>1.4085000000000001</v>
      </c>
      <c r="Z3" s="2">
        <v>87.2</v>
      </c>
      <c r="AA3" s="1">
        <v>0</v>
      </c>
      <c r="AB3" s="2">
        <v>85.9</v>
      </c>
      <c r="AC3" s="1">
        <v>0</v>
      </c>
    </row>
    <row r="4" spans="1:29" x14ac:dyDescent="0.3">
      <c r="A4">
        <f t="shared" ref="A4:A67" si="0">A3+1</f>
        <v>3</v>
      </c>
      <c r="B4">
        <v>1</v>
      </c>
      <c r="C4">
        <v>531.70000000000005</v>
      </c>
      <c r="D4">
        <v>151.80000000000001</v>
      </c>
      <c r="E4">
        <v>183.5</v>
      </c>
      <c r="F4">
        <v>145</v>
      </c>
      <c r="G4">
        <v>24</v>
      </c>
      <c r="H4">
        <v>52</v>
      </c>
      <c r="I4">
        <v>492</v>
      </c>
      <c r="J4">
        <v>30.89</v>
      </c>
      <c r="K4">
        <v>13.2</v>
      </c>
      <c r="L4">
        <v>0.22600000000000001</v>
      </c>
      <c r="M4">
        <v>3.0000000000000001E-3</v>
      </c>
      <c r="N4">
        <v>0.58189999999999997</v>
      </c>
      <c r="O4">
        <v>1.3112999999999999</v>
      </c>
      <c r="P4">
        <v>298.93</v>
      </c>
      <c r="Q4">
        <v>7929.39</v>
      </c>
      <c r="R4">
        <v>3.29</v>
      </c>
      <c r="S4">
        <v>75.319999999999993</v>
      </c>
      <c r="T4">
        <v>0.22109999999999999</v>
      </c>
      <c r="U4">
        <v>0.77300000000000002</v>
      </c>
      <c r="V4">
        <v>5.5717999999999996</v>
      </c>
      <c r="W4">
        <v>0.88390000000000002</v>
      </c>
      <c r="X4">
        <v>9.1499999999999998E-2</v>
      </c>
      <c r="Y4">
        <v>1.9155</v>
      </c>
      <c r="Z4" s="2">
        <v>96</v>
      </c>
      <c r="AA4" s="1">
        <v>1</v>
      </c>
      <c r="AB4" s="2">
        <v>99.4</v>
      </c>
      <c r="AC4" s="1">
        <v>1</v>
      </c>
    </row>
    <row r="5" spans="1:29" x14ac:dyDescent="0.3">
      <c r="A5">
        <f t="shared" si="0"/>
        <v>4</v>
      </c>
      <c r="B5">
        <v>3</v>
      </c>
      <c r="C5">
        <v>410.2</v>
      </c>
      <c r="D5">
        <v>107.5</v>
      </c>
      <c r="E5">
        <v>163.69999999999999</v>
      </c>
      <c r="F5">
        <v>155</v>
      </c>
      <c r="G5">
        <v>14</v>
      </c>
      <c r="H5">
        <v>29</v>
      </c>
      <c r="I5">
        <v>474</v>
      </c>
      <c r="J5">
        <v>34.74</v>
      </c>
      <c r="K5">
        <v>19.21</v>
      </c>
      <c r="L5">
        <v>0.20119999999999999</v>
      </c>
      <c r="M5">
        <v>0</v>
      </c>
      <c r="N5">
        <v>0.63009999999999999</v>
      </c>
      <c r="O5">
        <v>0.73960000000000004</v>
      </c>
      <c r="P5">
        <v>306.16000000000003</v>
      </c>
      <c r="Q5">
        <v>8054.29</v>
      </c>
      <c r="R5">
        <v>4.2699999999999996</v>
      </c>
      <c r="S5">
        <v>13.7</v>
      </c>
      <c r="T5">
        <v>0.27960000000000002</v>
      </c>
      <c r="U5">
        <v>1.2907</v>
      </c>
      <c r="V5">
        <v>4.7778</v>
      </c>
      <c r="W5">
        <v>0.80249999999999999</v>
      </c>
      <c r="X5">
        <v>5.1799999999999999E-2</v>
      </c>
      <c r="Y5">
        <v>1.5859000000000001</v>
      </c>
      <c r="Z5" s="2">
        <v>92.5</v>
      </c>
      <c r="AA5" s="1">
        <v>1</v>
      </c>
      <c r="AB5" s="2">
        <v>95</v>
      </c>
      <c r="AC5" s="1">
        <v>1</v>
      </c>
    </row>
    <row r="6" spans="1:29" x14ac:dyDescent="0.3">
      <c r="A6">
        <f t="shared" si="0"/>
        <v>5</v>
      </c>
      <c r="B6">
        <v>1</v>
      </c>
      <c r="C6">
        <v>704.6</v>
      </c>
      <c r="D6">
        <v>130.19999999999999</v>
      </c>
      <c r="E6">
        <v>113.8</v>
      </c>
      <c r="F6">
        <v>85</v>
      </c>
      <c r="G6">
        <v>32</v>
      </c>
      <c r="H6">
        <v>48</v>
      </c>
      <c r="I6">
        <v>386</v>
      </c>
      <c r="J6">
        <v>19.829999999999998</v>
      </c>
      <c r="K6">
        <v>9.25</v>
      </c>
      <c r="L6">
        <v>0.29420000000000002</v>
      </c>
      <c r="M6">
        <v>4.5999999999999999E-3</v>
      </c>
      <c r="N6">
        <v>0.49930000000000002</v>
      </c>
      <c r="O6">
        <v>0.8508</v>
      </c>
      <c r="P6">
        <v>388.5</v>
      </c>
      <c r="Q6">
        <v>9522.64</v>
      </c>
      <c r="R6">
        <v>2.72</v>
      </c>
      <c r="S6">
        <v>83.15</v>
      </c>
      <c r="T6">
        <v>0.22270000000000001</v>
      </c>
      <c r="U6">
        <v>1.1135999999999999</v>
      </c>
      <c r="V6">
        <v>6.1203000000000003</v>
      </c>
      <c r="W6">
        <v>0.82789999999999997</v>
      </c>
      <c r="X6">
        <v>0.1338</v>
      </c>
      <c r="Y6">
        <v>1.9245000000000001</v>
      </c>
      <c r="Z6" s="2">
        <v>92.5</v>
      </c>
      <c r="AA6" s="1">
        <v>1</v>
      </c>
      <c r="AB6" s="2">
        <v>91.8</v>
      </c>
      <c r="AC6" s="1">
        <v>1</v>
      </c>
    </row>
    <row r="7" spans="1:29" x14ac:dyDescent="0.3">
      <c r="A7">
        <f t="shared" si="0"/>
        <v>6</v>
      </c>
      <c r="B7">
        <v>1</v>
      </c>
      <c r="C7">
        <v>543.29999999999995</v>
      </c>
      <c r="D7">
        <v>139.30000000000001</v>
      </c>
      <c r="E7">
        <v>155.6</v>
      </c>
      <c r="F7">
        <v>170</v>
      </c>
      <c r="G7">
        <v>23</v>
      </c>
      <c r="H7">
        <v>59</v>
      </c>
      <c r="I7">
        <v>312</v>
      </c>
      <c r="J7">
        <v>43.11</v>
      </c>
      <c r="K7">
        <v>17.420000000000002</v>
      </c>
      <c r="L7">
        <v>0.22700000000000001</v>
      </c>
      <c r="M7">
        <v>5.7000000000000002E-3</v>
      </c>
      <c r="N7">
        <v>0.54179999999999995</v>
      </c>
      <c r="O7">
        <v>0.66739999999999999</v>
      </c>
      <c r="P7">
        <v>309.8</v>
      </c>
      <c r="Q7">
        <v>12155.13</v>
      </c>
      <c r="R7">
        <v>2.27</v>
      </c>
      <c r="S7">
        <v>113.7</v>
      </c>
      <c r="T7">
        <v>0.2384</v>
      </c>
      <c r="U7">
        <v>1.1580999999999999</v>
      </c>
      <c r="V7">
        <v>8.2916000000000007</v>
      </c>
      <c r="W7">
        <v>0.70499999999999996</v>
      </c>
      <c r="X7">
        <v>8.2100000000000006E-2</v>
      </c>
      <c r="Y7">
        <v>2.9363000000000001</v>
      </c>
      <c r="Z7" s="2">
        <v>82.1</v>
      </c>
      <c r="AA7" s="1">
        <v>0</v>
      </c>
      <c r="AB7" s="2">
        <v>76.900000000000006</v>
      </c>
      <c r="AC7" s="1">
        <v>0</v>
      </c>
    </row>
    <row r="8" spans="1:29" x14ac:dyDescent="0.3">
      <c r="A8">
        <f t="shared" si="0"/>
        <v>7</v>
      </c>
      <c r="B8">
        <v>1</v>
      </c>
      <c r="C8">
        <v>790.2</v>
      </c>
      <c r="D8">
        <v>257</v>
      </c>
      <c r="E8">
        <v>178.7</v>
      </c>
      <c r="F8">
        <v>175</v>
      </c>
      <c r="G8">
        <v>25</v>
      </c>
      <c r="H8">
        <v>59</v>
      </c>
      <c r="I8">
        <v>712</v>
      </c>
      <c r="J8">
        <v>28.8</v>
      </c>
      <c r="K8">
        <v>10.56</v>
      </c>
      <c r="L8">
        <v>0.27889999999999998</v>
      </c>
      <c r="M8">
        <v>6.8999999999999999E-3</v>
      </c>
      <c r="N8">
        <v>0.63139999999999996</v>
      </c>
      <c r="O8">
        <v>0.79410000000000003</v>
      </c>
      <c r="P8">
        <v>279.27</v>
      </c>
      <c r="Q8">
        <v>5102.4799999999996</v>
      </c>
      <c r="R8">
        <v>2.66</v>
      </c>
      <c r="S8">
        <v>46.25</v>
      </c>
      <c r="T8">
        <v>0.19989999999999999</v>
      </c>
      <c r="U8">
        <v>0.86519999999999997</v>
      </c>
      <c r="V8">
        <v>11.0768</v>
      </c>
      <c r="W8">
        <v>0.81640000000000001</v>
      </c>
      <c r="X8">
        <v>0.1075</v>
      </c>
      <c r="Y8">
        <v>2.5085000000000002</v>
      </c>
      <c r="Z8" s="2">
        <v>92.7</v>
      </c>
      <c r="AA8" s="1">
        <v>1</v>
      </c>
      <c r="AB8" s="2">
        <v>88.5</v>
      </c>
      <c r="AC8" s="1">
        <v>0</v>
      </c>
    </row>
    <row r="9" spans="1:29" x14ac:dyDescent="0.3">
      <c r="A9">
        <f t="shared" si="0"/>
        <v>8</v>
      </c>
      <c r="B9">
        <v>1</v>
      </c>
      <c r="C9">
        <v>1253.9000000000001</v>
      </c>
      <c r="D9">
        <v>250.3</v>
      </c>
      <c r="E9">
        <v>120.7</v>
      </c>
      <c r="F9">
        <v>120</v>
      </c>
      <c r="G9">
        <v>31</v>
      </c>
      <c r="H9">
        <v>54</v>
      </c>
      <c r="I9">
        <v>576</v>
      </c>
      <c r="J9">
        <v>22.5</v>
      </c>
      <c r="K9">
        <v>9.76</v>
      </c>
      <c r="L9">
        <v>0.2782</v>
      </c>
      <c r="M9">
        <v>5.1999999999999998E-3</v>
      </c>
      <c r="N9">
        <v>0.43490000000000001</v>
      </c>
      <c r="O9">
        <v>1.0603</v>
      </c>
      <c r="P9">
        <v>373.83</v>
      </c>
      <c r="Q9">
        <v>13049.81</v>
      </c>
      <c r="R9">
        <v>2.17</v>
      </c>
      <c r="S9">
        <v>116.44</v>
      </c>
      <c r="T9">
        <v>0.21</v>
      </c>
      <c r="U9">
        <v>0.90739999999999998</v>
      </c>
      <c r="V9">
        <v>7.6355000000000004</v>
      </c>
      <c r="W9">
        <v>0.81769999999999998</v>
      </c>
      <c r="X9">
        <v>0.1237</v>
      </c>
      <c r="Y9">
        <v>2.1156999999999999</v>
      </c>
      <c r="Z9" s="2">
        <v>93.1</v>
      </c>
      <c r="AA9" s="1">
        <v>1</v>
      </c>
      <c r="AB9" s="2">
        <v>91.3</v>
      </c>
      <c r="AC9" s="1">
        <v>1</v>
      </c>
    </row>
    <row r="10" spans="1:29" x14ac:dyDescent="0.3">
      <c r="A10">
        <f t="shared" si="0"/>
        <v>9</v>
      </c>
      <c r="B10">
        <v>3</v>
      </c>
      <c r="C10">
        <v>496.2</v>
      </c>
      <c r="D10">
        <v>126.9</v>
      </c>
      <c r="E10">
        <v>120</v>
      </c>
      <c r="F10">
        <v>120</v>
      </c>
      <c r="G10">
        <v>14</v>
      </c>
      <c r="H10">
        <v>25</v>
      </c>
      <c r="I10">
        <v>416</v>
      </c>
      <c r="J10">
        <v>53.96</v>
      </c>
      <c r="K10">
        <v>38.4</v>
      </c>
      <c r="L10">
        <v>0.1328</v>
      </c>
      <c r="M10">
        <v>0</v>
      </c>
      <c r="N10">
        <v>0.50900000000000001</v>
      </c>
      <c r="O10">
        <v>0.65749999999999997</v>
      </c>
      <c r="P10">
        <v>282.87</v>
      </c>
      <c r="Q10">
        <v>5325.24</v>
      </c>
      <c r="R10">
        <v>3.38</v>
      </c>
      <c r="S10">
        <v>61.3</v>
      </c>
      <c r="T10">
        <v>0.37219999999999998</v>
      </c>
      <c r="U10">
        <v>1.0455000000000001</v>
      </c>
      <c r="V10">
        <v>2.5653999999999999</v>
      </c>
      <c r="W10">
        <v>0.55710000000000004</v>
      </c>
      <c r="X10">
        <v>4.07E-2</v>
      </c>
      <c r="Y10">
        <v>1.6133999999999999</v>
      </c>
      <c r="Z10" s="2">
        <v>95.1</v>
      </c>
      <c r="AA10" s="1">
        <v>1</v>
      </c>
      <c r="AB10" s="2">
        <v>95.6</v>
      </c>
      <c r="AC10" s="1">
        <v>1</v>
      </c>
    </row>
    <row r="11" spans="1:29" x14ac:dyDescent="0.3">
      <c r="A11">
        <f t="shared" si="0"/>
        <v>10</v>
      </c>
      <c r="B11">
        <v>3</v>
      </c>
      <c r="C11">
        <v>472.8</v>
      </c>
      <c r="D11">
        <v>145.80000000000001</v>
      </c>
      <c r="E11">
        <v>128.4</v>
      </c>
      <c r="F11">
        <v>140</v>
      </c>
      <c r="G11">
        <v>13</v>
      </c>
      <c r="H11">
        <v>26</v>
      </c>
      <c r="I11">
        <v>416</v>
      </c>
      <c r="J11">
        <v>55.34</v>
      </c>
      <c r="K11">
        <v>38.4</v>
      </c>
      <c r="L11">
        <v>0.14630000000000001</v>
      </c>
      <c r="M11">
        <v>0</v>
      </c>
      <c r="N11">
        <v>0.46660000000000001</v>
      </c>
      <c r="O11">
        <v>0.5706</v>
      </c>
      <c r="P11">
        <v>231.41</v>
      </c>
      <c r="Q11">
        <v>5944.79</v>
      </c>
      <c r="R11">
        <v>3.01</v>
      </c>
      <c r="S11">
        <v>57.46</v>
      </c>
      <c r="T11">
        <v>0.37440000000000001</v>
      </c>
      <c r="U11">
        <v>0.97709999999999997</v>
      </c>
      <c r="V11">
        <v>2.9115000000000002</v>
      </c>
      <c r="W11">
        <v>0.54549999999999998</v>
      </c>
      <c r="X11">
        <v>3.7499999999999999E-2</v>
      </c>
      <c r="Y11">
        <v>1.6983999999999999</v>
      </c>
      <c r="Z11" s="2">
        <v>95.6</v>
      </c>
      <c r="AA11" s="1">
        <v>1</v>
      </c>
      <c r="AB11" s="2">
        <v>95.9</v>
      </c>
      <c r="AC11" s="1">
        <v>1</v>
      </c>
    </row>
    <row r="12" spans="1:29" x14ac:dyDescent="0.3">
      <c r="A12">
        <f t="shared" si="0"/>
        <v>11</v>
      </c>
      <c r="B12">
        <v>2</v>
      </c>
      <c r="C12">
        <v>522</v>
      </c>
      <c r="D12">
        <v>103.7</v>
      </c>
      <c r="E12">
        <v>156.69999999999999</v>
      </c>
      <c r="F12">
        <v>165</v>
      </c>
      <c r="G12">
        <v>24</v>
      </c>
      <c r="H12">
        <v>56</v>
      </c>
      <c r="I12">
        <v>398</v>
      </c>
      <c r="J12">
        <v>40.72</v>
      </c>
      <c r="K12">
        <v>19.38</v>
      </c>
      <c r="L12">
        <v>0.19670000000000001</v>
      </c>
      <c r="M12">
        <v>8.9999999999999998E-4</v>
      </c>
      <c r="N12">
        <v>0.55420000000000003</v>
      </c>
      <c r="O12">
        <v>0.71299999999999997</v>
      </c>
      <c r="P12">
        <v>387.38</v>
      </c>
      <c r="Q12">
        <v>9560.9599999999991</v>
      </c>
      <c r="R12">
        <v>3.47</v>
      </c>
      <c r="S12">
        <v>42.19</v>
      </c>
      <c r="T12">
        <v>0.30869999999999997</v>
      </c>
      <c r="U12">
        <v>1.3261000000000001</v>
      </c>
      <c r="V12">
        <v>7.0216000000000003</v>
      </c>
      <c r="W12">
        <v>0.67110000000000003</v>
      </c>
      <c r="X12">
        <v>6.9099999999999995E-2</v>
      </c>
      <c r="Y12">
        <v>1.7321</v>
      </c>
      <c r="Z12" s="2">
        <v>95.6</v>
      </c>
      <c r="AA12" s="1">
        <v>1</v>
      </c>
      <c r="AB12" s="2">
        <v>92.9</v>
      </c>
      <c r="AC12" s="1">
        <v>1</v>
      </c>
    </row>
    <row r="13" spans="1:29" x14ac:dyDescent="0.3">
      <c r="A13">
        <f t="shared" si="0"/>
        <v>12</v>
      </c>
      <c r="B13">
        <v>2</v>
      </c>
      <c r="C13">
        <v>404.2</v>
      </c>
      <c r="D13">
        <v>127</v>
      </c>
      <c r="E13">
        <v>129.6</v>
      </c>
      <c r="F13">
        <v>135</v>
      </c>
      <c r="G13">
        <v>28</v>
      </c>
      <c r="H13">
        <v>54</v>
      </c>
      <c r="I13">
        <v>440</v>
      </c>
      <c r="J13">
        <v>31.11</v>
      </c>
      <c r="K13">
        <v>15.44</v>
      </c>
      <c r="L13">
        <v>0.1988</v>
      </c>
      <c r="M13">
        <v>2.3999999999999998E-3</v>
      </c>
      <c r="N13">
        <v>0.48609999999999998</v>
      </c>
      <c r="O13">
        <v>0.93110000000000004</v>
      </c>
      <c r="P13">
        <v>300.17</v>
      </c>
      <c r="Q13">
        <v>6784.31</v>
      </c>
      <c r="R13">
        <v>3.42</v>
      </c>
      <c r="S13">
        <v>83.47</v>
      </c>
      <c r="T13">
        <v>0.29599999999999999</v>
      </c>
      <c r="U13">
        <v>0.89959999999999996</v>
      </c>
      <c r="V13">
        <v>6.5522999999999998</v>
      </c>
      <c r="W13">
        <v>0.72719999999999996</v>
      </c>
      <c r="X13">
        <v>8.1799999999999998E-2</v>
      </c>
      <c r="Y13">
        <v>1.5519000000000001</v>
      </c>
      <c r="Z13" s="2">
        <v>96.3</v>
      </c>
      <c r="AA13" s="1">
        <v>1</v>
      </c>
      <c r="AB13" s="2">
        <v>96.2</v>
      </c>
      <c r="AC13" s="1">
        <v>1</v>
      </c>
    </row>
    <row r="14" spans="1:29" x14ac:dyDescent="0.3">
      <c r="A14">
        <f t="shared" si="0"/>
        <v>13</v>
      </c>
      <c r="B14">
        <v>2</v>
      </c>
      <c r="C14">
        <v>337.7</v>
      </c>
      <c r="D14">
        <v>144.4</v>
      </c>
      <c r="E14">
        <v>144.5</v>
      </c>
      <c r="F14">
        <v>150</v>
      </c>
      <c r="G14">
        <v>26</v>
      </c>
      <c r="H14">
        <v>55</v>
      </c>
      <c r="I14">
        <v>440</v>
      </c>
      <c r="J14">
        <v>42.91</v>
      </c>
      <c r="K14">
        <v>21.95</v>
      </c>
      <c r="L14">
        <v>0.16220000000000001</v>
      </c>
      <c r="M14">
        <v>2.9999999999999997E-4</v>
      </c>
      <c r="N14">
        <v>0.42649999999999999</v>
      </c>
      <c r="O14">
        <v>0.79120000000000001</v>
      </c>
      <c r="P14">
        <v>211.05</v>
      </c>
      <c r="Q14">
        <v>5778.95</v>
      </c>
      <c r="R14">
        <v>3.12</v>
      </c>
      <c r="S14">
        <v>81.19</v>
      </c>
      <c r="T14">
        <v>0.35499999999999998</v>
      </c>
      <c r="U14">
        <v>0.84619999999999995</v>
      </c>
      <c r="V14">
        <v>5.2489999999999997</v>
      </c>
      <c r="W14">
        <v>0.65790000000000004</v>
      </c>
      <c r="X14">
        <v>5.9700000000000003E-2</v>
      </c>
      <c r="Y14">
        <v>1.5204</v>
      </c>
      <c r="Z14" s="2">
        <v>95.6</v>
      </c>
      <c r="AA14" s="1">
        <v>1</v>
      </c>
      <c r="AB14" s="2">
        <v>94.6</v>
      </c>
      <c r="AC14" s="1">
        <v>1</v>
      </c>
    </row>
    <row r="15" spans="1:29" x14ac:dyDescent="0.3">
      <c r="A15">
        <f t="shared" si="0"/>
        <v>14</v>
      </c>
      <c r="B15">
        <v>1</v>
      </c>
      <c r="C15">
        <v>686.1</v>
      </c>
      <c r="D15">
        <v>205.5</v>
      </c>
      <c r="E15">
        <v>200.8</v>
      </c>
      <c r="F15">
        <v>155</v>
      </c>
      <c r="G15">
        <v>28</v>
      </c>
      <c r="H15">
        <v>58</v>
      </c>
      <c r="I15">
        <v>716</v>
      </c>
      <c r="J15">
        <v>18.63</v>
      </c>
      <c r="K15">
        <v>7.74</v>
      </c>
      <c r="L15">
        <v>0.30249999999999999</v>
      </c>
      <c r="M15">
        <v>8.2000000000000007E-3</v>
      </c>
      <c r="N15">
        <v>0.67989999999999995</v>
      </c>
      <c r="O15">
        <v>0.96089999999999998</v>
      </c>
      <c r="P15">
        <v>285.61</v>
      </c>
      <c r="Q15">
        <v>7292.43</v>
      </c>
      <c r="R15">
        <v>3.43</v>
      </c>
      <c r="S15">
        <v>51.84</v>
      </c>
      <c r="T15">
        <v>0.15740000000000001</v>
      </c>
      <c r="U15">
        <v>1.0513999999999999</v>
      </c>
      <c r="V15">
        <v>11.0748</v>
      </c>
      <c r="W15">
        <v>0.90090000000000003</v>
      </c>
      <c r="X15">
        <v>0.129</v>
      </c>
      <c r="Y15">
        <v>2.1381000000000001</v>
      </c>
      <c r="Z15" s="2">
        <v>93.6</v>
      </c>
      <c r="AA15" s="1">
        <v>1</v>
      </c>
      <c r="AB15" s="2">
        <v>95.6</v>
      </c>
      <c r="AC15" s="1">
        <v>1</v>
      </c>
    </row>
    <row r="16" spans="1:29" x14ac:dyDescent="0.3">
      <c r="A16">
        <f t="shared" si="0"/>
        <v>15</v>
      </c>
      <c r="B16">
        <v>4</v>
      </c>
      <c r="C16">
        <v>656.6</v>
      </c>
      <c r="D16">
        <v>237.2</v>
      </c>
      <c r="E16">
        <v>175.5</v>
      </c>
      <c r="F16">
        <v>160</v>
      </c>
      <c r="G16">
        <v>1</v>
      </c>
      <c r="H16">
        <v>40</v>
      </c>
      <c r="I16">
        <v>717</v>
      </c>
      <c r="J16">
        <v>36.64</v>
      </c>
      <c r="K16">
        <v>17.53</v>
      </c>
      <c r="L16">
        <v>0.25850000000000001</v>
      </c>
      <c r="M16">
        <v>5.7599999999999998E-2</v>
      </c>
      <c r="N16">
        <v>0.45450000000000002</v>
      </c>
      <c r="O16">
        <v>0.63700000000000001</v>
      </c>
      <c r="P16">
        <v>269.20999999999998</v>
      </c>
      <c r="Q16">
        <v>7767.57</v>
      </c>
      <c r="R16">
        <v>3</v>
      </c>
      <c r="S16">
        <v>8.2799999999999994</v>
      </c>
      <c r="T16">
        <v>0.23499999999999999</v>
      </c>
      <c r="U16">
        <v>0.91439999999999999</v>
      </c>
      <c r="V16">
        <v>9.3979999999999997</v>
      </c>
      <c r="W16">
        <v>0.63649999999999995</v>
      </c>
      <c r="X16">
        <v>0.10979999999999999</v>
      </c>
      <c r="Y16">
        <v>1.5515000000000001</v>
      </c>
      <c r="Z16" s="2">
        <v>86.6</v>
      </c>
      <c r="AA16" s="1">
        <v>0</v>
      </c>
      <c r="AB16" s="2">
        <v>83.8</v>
      </c>
      <c r="AC16" s="1">
        <v>0</v>
      </c>
    </row>
    <row r="17" spans="1:29" x14ac:dyDescent="0.3">
      <c r="A17">
        <f t="shared" si="0"/>
        <v>16</v>
      </c>
      <c r="B17">
        <v>4</v>
      </c>
      <c r="C17">
        <v>2616.1999999999998</v>
      </c>
      <c r="D17">
        <v>360.7</v>
      </c>
      <c r="E17">
        <v>140.6</v>
      </c>
      <c r="F17">
        <v>160</v>
      </c>
      <c r="G17">
        <v>1</v>
      </c>
      <c r="H17">
        <v>40</v>
      </c>
      <c r="I17">
        <v>716</v>
      </c>
      <c r="J17">
        <v>17.5</v>
      </c>
      <c r="K17">
        <v>7.89</v>
      </c>
      <c r="L17">
        <v>0.28089999999999998</v>
      </c>
      <c r="M17">
        <v>0.16450000000000001</v>
      </c>
      <c r="N17">
        <v>6.8000000000000005E-2</v>
      </c>
      <c r="O17">
        <v>0.60340000000000005</v>
      </c>
      <c r="P17">
        <v>451.22</v>
      </c>
      <c r="Q17">
        <v>3752.32</v>
      </c>
      <c r="R17">
        <v>1.84</v>
      </c>
      <c r="S17">
        <v>43.15</v>
      </c>
      <c r="T17">
        <v>0.12609999999999999</v>
      </c>
      <c r="U17">
        <v>0.39879999999999999</v>
      </c>
      <c r="V17">
        <v>6.1025</v>
      </c>
      <c r="W17">
        <v>0.68410000000000004</v>
      </c>
      <c r="X17">
        <v>0.13200000000000001</v>
      </c>
      <c r="Y17">
        <v>0.3831</v>
      </c>
      <c r="Z17" s="2">
        <v>93.9</v>
      </c>
      <c r="AA17" s="1">
        <v>1</v>
      </c>
      <c r="AB17" s="2">
        <v>90.9</v>
      </c>
      <c r="AC17" s="1">
        <v>1</v>
      </c>
    </row>
    <row r="18" spans="1:29" x14ac:dyDescent="0.3">
      <c r="A18">
        <f t="shared" si="0"/>
        <v>17</v>
      </c>
      <c r="B18">
        <v>2</v>
      </c>
      <c r="C18">
        <v>922.6</v>
      </c>
      <c r="D18">
        <v>139.80000000000001</v>
      </c>
      <c r="E18">
        <v>142.6</v>
      </c>
      <c r="F18">
        <v>155</v>
      </c>
      <c r="G18">
        <v>33</v>
      </c>
      <c r="H18">
        <v>63</v>
      </c>
      <c r="I18">
        <v>358</v>
      </c>
      <c r="J18">
        <v>29.05</v>
      </c>
      <c r="K18">
        <v>12.25</v>
      </c>
      <c r="L18">
        <v>0.25240000000000001</v>
      </c>
      <c r="M18">
        <v>4.7000000000000002E-3</v>
      </c>
      <c r="N18">
        <v>0.34760000000000002</v>
      </c>
      <c r="O18">
        <v>0.66249999999999998</v>
      </c>
      <c r="P18">
        <v>435.4</v>
      </c>
      <c r="Q18">
        <v>11422.67</v>
      </c>
      <c r="R18">
        <v>2.2400000000000002</v>
      </c>
      <c r="S18">
        <v>99.49</v>
      </c>
      <c r="T18">
        <v>0.23549999999999999</v>
      </c>
      <c r="U18">
        <v>1.5307999999999999</v>
      </c>
      <c r="V18">
        <v>10.0465</v>
      </c>
      <c r="W18">
        <v>0.76359999999999995</v>
      </c>
      <c r="X18">
        <v>0.1024</v>
      </c>
      <c r="Y18">
        <v>1.6436999999999999</v>
      </c>
      <c r="Z18" s="2">
        <v>90.1</v>
      </c>
      <c r="AA18" s="1">
        <v>1</v>
      </c>
      <c r="AB18" s="2">
        <v>89.5</v>
      </c>
      <c r="AC18" s="1">
        <v>0</v>
      </c>
    </row>
    <row r="19" spans="1:29" x14ac:dyDescent="0.3">
      <c r="A19">
        <f t="shared" si="0"/>
        <v>18</v>
      </c>
      <c r="B19">
        <v>4</v>
      </c>
      <c r="C19">
        <v>946.7</v>
      </c>
      <c r="D19">
        <v>144.80000000000001</v>
      </c>
      <c r="E19">
        <v>146.6</v>
      </c>
      <c r="F19">
        <v>160</v>
      </c>
      <c r="G19">
        <v>1</v>
      </c>
      <c r="H19">
        <v>40</v>
      </c>
      <c r="I19">
        <v>356</v>
      </c>
      <c r="J19">
        <v>30.19</v>
      </c>
      <c r="K19">
        <v>16.89</v>
      </c>
      <c r="L19">
        <v>0.21290000000000001</v>
      </c>
      <c r="M19">
        <v>9.3700000000000006E-2</v>
      </c>
      <c r="N19">
        <v>0.1196</v>
      </c>
      <c r="O19">
        <v>0.77969999999999995</v>
      </c>
      <c r="P19">
        <v>431</v>
      </c>
      <c r="Q19">
        <v>8387.6</v>
      </c>
      <c r="R19">
        <v>2.1</v>
      </c>
      <c r="S19">
        <v>90.67</v>
      </c>
      <c r="T19">
        <v>0.1234</v>
      </c>
      <c r="U19">
        <v>0.6925</v>
      </c>
      <c r="V19">
        <v>6.1356999999999999</v>
      </c>
      <c r="W19">
        <v>0.60360000000000003</v>
      </c>
      <c r="X19">
        <v>9.1499999999999998E-2</v>
      </c>
      <c r="Y19">
        <v>0.63249999999999995</v>
      </c>
      <c r="Z19" s="2">
        <v>95.2</v>
      </c>
      <c r="AA19" s="1">
        <v>1</v>
      </c>
      <c r="AB19" s="2">
        <v>92.6</v>
      </c>
      <c r="AC19" s="1">
        <v>1</v>
      </c>
    </row>
    <row r="20" spans="1:29" x14ac:dyDescent="0.3">
      <c r="A20">
        <f t="shared" si="0"/>
        <v>19</v>
      </c>
      <c r="B20">
        <v>2</v>
      </c>
      <c r="C20">
        <v>797</v>
      </c>
      <c r="D20">
        <v>127.7</v>
      </c>
      <c r="E20">
        <v>141</v>
      </c>
      <c r="F20">
        <v>110</v>
      </c>
      <c r="G20">
        <v>26</v>
      </c>
      <c r="H20">
        <v>47</v>
      </c>
      <c r="I20">
        <v>358</v>
      </c>
      <c r="J20">
        <v>34.130000000000003</v>
      </c>
      <c r="K20">
        <v>17.07</v>
      </c>
      <c r="L20">
        <v>0.22869999999999999</v>
      </c>
      <c r="M20">
        <v>2.3E-3</v>
      </c>
      <c r="N20">
        <v>0.2898</v>
      </c>
      <c r="O20">
        <v>0.82789999999999997</v>
      </c>
      <c r="P20">
        <v>431.46</v>
      </c>
      <c r="Q20">
        <v>13291.58</v>
      </c>
      <c r="R20">
        <v>2.41</v>
      </c>
      <c r="S20">
        <v>92.35</v>
      </c>
      <c r="T20">
        <v>0.26400000000000001</v>
      </c>
      <c r="U20">
        <v>1.3642000000000001</v>
      </c>
      <c r="V20">
        <v>6.4042000000000003</v>
      </c>
      <c r="W20">
        <v>0.754</v>
      </c>
      <c r="X20">
        <v>9.8299999999999998E-2</v>
      </c>
      <c r="Y20">
        <v>1.2650999999999999</v>
      </c>
      <c r="Z20" s="2">
        <v>97</v>
      </c>
      <c r="AA20" s="1">
        <v>1</v>
      </c>
      <c r="AB20" s="2">
        <v>95.9</v>
      </c>
      <c r="AC20" s="1">
        <v>1</v>
      </c>
    </row>
    <row r="21" spans="1:29" x14ac:dyDescent="0.3">
      <c r="A21">
        <f t="shared" si="0"/>
        <v>20</v>
      </c>
      <c r="B21">
        <v>1</v>
      </c>
      <c r="C21">
        <v>514.1</v>
      </c>
      <c r="D21">
        <v>98.3</v>
      </c>
      <c r="E21">
        <v>95.6</v>
      </c>
      <c r="F21">
        <v>80</v>
      </c>
      <c r="G21">
        <v>35</v>
      </c>
      <c r="H21">
        <v>50</v>
      </c>
      <c r="I21">
        <v>396</v>
      </c>
      <c r="J21">
        <v>25.75</v>
      </c>
      <c r="K21">
        <v>14.62</v>
      </c>
      <c r="L21">
        <v>0.2611</v>
      </c>
      <c r="M21">
        <v>1.6999999999999999E-3</v>
      </c>
      <c r="N21">
        <v>0.3987</v>
      </c>
      <c r="O21">
        <v>0.878</v>
      </c>
      <c r="P21">
        <v>379.63</v>
      </c>
      <c r="Q21">
        <v>7519.4</v>
      </c>
      <c r="R21">
        <v>3.79</v>
      </c>
      <c r="S21">
        <v>29.2</v>
      </c>
      <c r="T21">
        <v>0.28050000000000003</v>
      </c>
      <c r="U21">
        <v>0.95279999999999998</v>
      </c>
      <c r="V21">
        <v>5.8608000000000002</v>
      </c>
      <c r="W21">
        <v>0.68589999999999995</v>
      </c>
      <c r="X21">
        <v>0.12</v>
      </c>
      <c r="Y21">
        <v>1.0829</v>
      </c>
      <c r="Z21" s="2">
        <v>86.2</v>
      </c>
      <c r="AA21" s="1">
        <v>0</v>
      </c>
      <c r="AB21" s="2">
        <v>79.8</v>
      </c>
      <c r="AC21" s="1">
        <v>0</v>
      </c>
    </row>
    <row r="22" spans="1:29" x14ac:dyDescent="0.3">
      <c r="A22">
        <f t="shared" si="0"/>
        <v>21</v>
      </c>
      <c r="B22">
        <v>2</v>
      </c>
      <c r="C22">
        <v>551.70000000000005</v>
      </c>
      <c r="D22">
        <v>185.7</v>
      </c>
      <c r="E22">
        <v>168.2</v>
      </c>
      <c r="F22">
        <v>190</v>
      </c>
      <c r="G22">
        <v>21</v>
      </c>
      <c r="H22">
        <v>58</v>
      </c>
      <c r="I22">
        <v>476</v>
      </c>
      <c r="J22">
        <v>30.47</v>
      </c>
      <c r="K22">
        <v>13.66</v>
      </c>
      <c r="L22">
        <v>0.23860000000000001</v>
      </c>
      <c r="M22">
        <v>4.4000000000000003E-3</v>
      </c>
      <c r="N22">
        <v>0.63780000000000003</v>
      </c>
      <c r="O22">
        <v>0.92049999999999998</v>
      </c>
      <c r="P22">
        <v>266.01</v>
      </c>
      <c r="Q22">
        <v>7891.71</v>
      </c>
      <c r="R22">
        <v>2.4700000000000002</v>
      </c>
      <c r="S22">
        <v>96.54</v>
      </c>
      <c r="T22">
        <v>0.21790000000000001</v>
      </c>
      <c r="U22">
        <v>1.0291999999999999</v>
      </c>
      <c r="V22">
        <v>10.605700000000001</v>
      </c>
      <c r="W22">
        <v>0.77459999999999996</v>
      </c>
      <c r="X22">
        <v>9.1800000000000007E-2</v>
      </c>
      <c r="Y22">
        <v>2.8494000000000002</v>
      </c>
      <c r="Z22" s="2">
        <v>85.6</v>
      </c>
      <c r="AA22" s="1">
        <v>0</v>
      </c>
      <c r="AB22" s="2">
        <v>83.6</v>
      </c>
      <c r="AC22" s="1">
        <v>0</v>
      </c>
    </row>
    <row r="23" spans="1:29" x14ac:dyDescent="0.3">
      <c r="A23">
        <f t="shared" si="0"/>
        <v>22</v>
      </c>
      <c r="B23">
        <v>2</v>
      </c>
      <c r="C23">
        <v>4271.8</v>
      </c>
      <c r="D23">
        <v>576.9</v>
      </c>
      <c r="E23">
        <v>55.6</v>
      </c>
      <c r="F23">
        <v>45</v>
      </c>
      <c r="G23">
        <v>37</v>
      </c>
      <c r="H23">
        <v>45</v>
      </c>
      <c r="I23">
        <v>654</v>
      </c>
      <c r="J23">
        <v>16.440000000000001</v>
      </c>
      <c r="K23">
        <v>10.09</v>
      </c>
      <c r="L23">
        <v>0.20630000000000001</v>
      </c>
      <c r="M23">
        <v>5.9999999999999995E-4</v>
      </c>
      <c r="N23">
        <v>9.5299999999999996E-2</v>
      </c>
      <c r="O23">
        <v>0.59770000000000001</v>
      </c>
      <c r="P23">
        <v>457.25</v>
      </c>
      <c r="Q23">
        <v>3693.62</v>
      </c>
      <c r="R23">
        <v>1.01</v>
      </c>
      <c r="S23">
        <v>67.36</v>
      </c>
      <c r="T23">
        <v>0.31219999999999998</v>
      </c>
      <c r="U23">
        <v>0.82899999999999996</v>
      </c>
      <c r="V23">
        <v>3.1082999999999998</v>
      </c>
      <c r="W23">
        <v>0.65690000000000004</v>
      </c>
      <c r="X23">
        <v>0.1177</v>
      </c>
      <c r="Y23">
        <v>1.0564</v>
      </c>
      <c r="Z23" s="2">
        <v>85.6</v>
      </c>
      <c r="AA23" s="1">
        <v>0</v>
      </c>
      <c r="AB23" s="2">
        <v>91</v>
      </c>
      <c r="AC23" s="1">
        <v>1</v>
      </c>
    </row>
    <row r="24" spans="1:29" x14ac:dyDescent="0.3">
      <c r="A24">
        <f t="shared" si="0"/>
        <v>23</v>
      </c>
      <c r="B24">
        <v>1</v>
      </c>
      <c r="C24">
        <v>827</v>
      </c>
      <c r="D24">
        <v>136.9</v>
      </c>
      <c r="E24">
        <v>159.69999999999999</v>
      </c>
      <c r="F24">
        <v>155</v>
      </c>
      <c r="G24">
        <v>24</v>
      </c>
      <c r="H24">
        <v>54</v>
      </c>
      <c r="I24">
        <v>448</v>
      </c>
      <c r="J24">
        <v>29.13</v>
      </c>
      <c r="K24">
        <v>15.11</v>
      </c>
      <c r="L24">
        <v>0.25950000000000001</v>
      </c>
      <c r="M24">
        <v>8.3999999999999995E-3</v>
      </c>
      <c r="N24">
        <v>0.45379999999999998</v>
      </c>
      <c r="O24">
        <v>0.94430000000000003</v>
      </c>
      <c r="P24">
        <v>398.56</v>
      </c>
      <c r="Q24">
        <v>4784.3999999999996</v>
      </c>
      <c r="R24">
        <v>2.93</v>
      </c>
      <c r="S24">
        <v>41.78</v>
      </c>
      <c r="T24">
        <v>0.22800000000000001</v>
      </c>
      <c r="U24">
        <v>1.0437000000000001</v>
      </c>
      <c r="V24">
        <v>8.6141000000000005</v>
      </c>
      <c r="W24">
        <v>0.8034</v>
      </c>
      <c r="X24">
        <v>0.1007</v>
      </c>
      <c r="Y24">
        <v>1.548</v>
      </c>
      <c r="Z24" s="2">
        <v>98.9</v>
      </c>
      <c r="AA24" s="1">
        <v>1</v>
      </c>
      <c r="AB24" s="2">
        <v>98.9</v>
      </c>
      <c r="AC24" s="1">
        <v>1</v>
      </c>
    </row>
    <row r="25" spans="1:29" x14ac:dyDescent="0.3">
      <c r="A25">
        <f t="shared" si="0"/>
        <v>24</v>
      </c>
      <c r="B25">
        <v>2</v>
      </c>
      <c r="C25">
        <v>499.7</v>
      </c>
      <c r="D25">
        <v>116.3</v>
      </c>
      <c r="E25">
        <v>192</v>
      </c>
      <c r="F25">
        <v>225</v>
      </c>
      <c r="G25">
        <v>19</v>
      </c>
      <c r="H25">
        <v>63</v>
      </c>
      <c r="I25">
        <v>446</v>
      </c>
      <c r="J25">
        <v>31.87</v>
      </c>
      <c r="K25">
        <v>12.03</v>
      </c>
      <c r="L25">
        <v>0.2407</v>
      </c>
      <c r="M25">
        <v>7.7999999999999996E-3</v>
      </c>
      <c r="N25">
        <v>0.4209</v>
      </c>
      <c r="O25">
        <v>1.1282000000000001</v>
      </c>
      <c r="P25">
        <v>369.05</v>
      </c>
      <c r="Q25">
        <v>7203.29</v>
      </c>
      <c r="R25">
        <v>3.44</v>
      </c>
      <c r="S25">
        <v>35.090000000000003</v>
      </c>
      <c r="T25">
        <v>0.17069999999999999</v>
      </c>
      <c r="U25">
        <v>0.87690000000000001</v>
      </c>
      <c r="V25">
        <v>7.5498000000000003</v>
      </c>
      <c r="W25">
        <v>0.83489999999999998</v>
      </c>
      <c r="X25">
        <v>9.11E-2</v>
      </c>
      <c r="Y25">
        <v>1.2498</v>
      </c>
      <c r="Z25" s="2">
        <v>98.7</v>
      </c>
      <c r="AA25" s="1">
        <v>1</v>
      </c>
      <c r="AB25" s="2">
        <v>98.8</v>
      </c>
      <c r="AC25" s="1">
        <v>1</v>
      </c>
    </row>
    <row r="26" spans="1:29" x14ac:dyDescent="0.3">
      <c r="A26">
        <f t="shared" si="0"/>
        <v>25</v>
      </c>
      <c r="B26">
        <v>1</v>
      </c>
      <c r="C26">
        <v>474.7</v>
      </c>
      <c r="D26">
        <v>90.1</v>
      </c>
      <c r="E26">
        <v>184.6</v>
      </c>
      <c r="F26">
        <v>120</v>
      </c>
      <c r="G26">
        <v>25</v>
      </c>
      <c r="H26">
        <v>48</v>
      </c>
      <c r="I26">
        <v>356</v>
      </c>
      <c r="J26">
        <v>46.06</v>
      </c>
      <c r="K26">
        <v>23.59</v>
      </c>
      <c r="L26">
        <v>0.17710000000000001</v>
      </c>
      <c r="M26">
        <v>2.3999999999999998E-3</v>
      </c>
      <c r="N26">
        <v>0.4894</v>
      </c>
      <c r="O26">
        <v>0.70960000000000001</v>
      </c>
      <c r="P26">
        <v>377.63</v>
      </c>
      <c r="Q26">
        <v>7139.99</v>
      </c>
      <c r="R26">
        <v>3.68</v>
      </c>
      <c r="S26">
        <v>37.229999999999997</v>
      </c>
      <c r="T26">
        <v>0.34410000000000002</v>
      </c>
      <c r="U26">
        <v>1.1177999999999999</v>
      </c>
      <c r="V26">
        <v>5.3815</v>
      </c>
      <c r="W26">
        <v>0.70040000000000002</v>
      </c>
      <c r="X26">
        <v>7.0800000000000002E-2</v>
      </c>
      <c r="Y26">
        <v>1.4271</v>
      </c>
      <c r="Z26" s="2">
        <v>97.5</v>
      </c>
      <c r="AA26" s="1">
        <v>1</v>
      </c>
      <c r="AB26" s="2">
        <v>99.3</v>
      </c>
      <c r="AC26" s="1">
        <v>1</v>
      </c>
    </row>
    <row r="27" spans="1:29" x14ac:dyDescent="0.3">
      <c r="A27">
        <f t="shared" si="0"/>
        <v>26</v>
      </c>
      <c r="B27">
        <v>3</v>
      </c>
      <c r="C27">
        <v>570.1</v>
      </c>
      <c r="D27">
        <v>105.7</v>
      </c>
      <c r="E27">
        <v>117.2</v>
      </c>
      <c r="F27">
        <v>120</v>
      </c>
      <c r="G27">
        <v>17</v>
      </c>
      <c r="H27">
        <v>28</v>
      </c>
      <c r="I27">
        <v>418</v>
      </c>
      <c r="J27">
        <v>29.02</v>
      </c>
      <c r="K27">
        <v>18.77</v>
      </c>
      <c r="L27">
        <v>0.23980000000000001</v>
      </c>
      <c r="M27">
        <v>0</v>
      </c>
      <c r="N27">
        <v>0.40689999999999998</v>
      </c>
      <c r="O27">
        <v>1.0784</v>
      </c>
      <c r="P27">
        <v>376.48</v>
      </c>
      <c r="Q27">
        <v>7426.78</v>
      </c>
      <c r="R27">
        <v>3.7</v>
      </c>
      <c r="S27">
        <v>46.39</v>
      </c>
      <c r="T27">
        <v>0.26879999999999998</v>
      </c>
      <c r="U27">
        <v>0.96409999999999996</v>
      </c>
      <c r="V27">
        <v>4.1317000000000004</v>
      </c>
      <c r="W27">
        <v>0.7359</v>
      </c>
      <c r="X27">
        <v>6.2300000000000001E-2</v>
      </c>
      <c r="Y27">
        <v>1.1282000000000001</v>
      </c>
      <c r="Z27" s="2">
        <v>94</v>
      </c>
      <c r="AA27" s="1">
        <v>1</v>
      </c>
      <c r="AB27" s="2">
        <v>94.9</v>
      </c>
      <c r="AC27" s="1">
        <v>1</v>
      </c>
    </row>
    <row r="28" spans="1:29" x14ac:dyDescent="0.3">
      <c r="A28">
        <f t="shared" si="0"/>
        <v>27</v>
      </c>
      <c r="B28">
        <v>3</v>
      </c>
      <c r="C28">
        <v>424.4</v>
      </c>
      <c r="D28">
        <v>88</v>
      </c>
      <c r="E28">
        <v>121.2</v>
      </c>
      <c r="F28">
        <v>120</v>
      </c>
      <c r="G28">
        <v>16</v>
      </c>
      <c r="H28">
        <v>29</v>
      </c>
      <c r="I28">
        <v>358</v>
      </c>
      <c r="J28">
        <v>45.51</v>
      </c>
      <c r="K28">
        <v>30.2</v>
      </c>
      <c r="L28">
        <v>0.1883</v>
      </c>
      <c r="M28">
        <v>0</v>
      </c>
      <c r="N28">
        <v>0.39400000000000002</v>
      </c>
      <c r="O28">
        <v>0.89019999999999999</v>
      </c>
      <c r="P28">
        <v>350.99</v>
      </c>
      <c r="Q28">
        <v>8123.06</v>
      </c>
      <c r="R28">
        <v>3.79</v>
      </c>
      <c r="S28">
        <v>37.76</v>
      </c>
      <c r="T28">
        <v>0.30380000000000001</v>
      </c>
      <c r="U28">
        <v>0.93789999999999996</v>
      </c>
      <c r="V28">
        <v>3.3567</v>
      </c>
      <c r="W28">
        <v>0.68059999999999998</v>
      </c>
      <c r="X28">
        <v>4.6899999999999997E-2</v>
      </c>
      <c r="Y28">
        <v>1.117</v>
      </c>
      <c r="Z28" s="2">
        <v>91.3</v>
      </c>
      <c r="AA28" s="1">
        <v>1</v>
      </c>
      <c r="AB28" s="2">
        <v>93.6</v>
      </c>
      <c r="AC28" s="1">
        <v>1</v>
      </c>
    </row>
    <row r="29" spans="1:29" x14ac:dyDescent="0.3">
      <c r="A29">
        <f t="shared" si="0"/>
        <v>28</v>
      </c>
      <c r="B29">
        <v>2</v>
      </c>
      <c r="C29">
        <v>770.8</v>
      </c>
      <c r="D29">
        <v>149.1</v>
      </c>
      <c r="E29">
        <v>146</v>
      </c>
      <c r="F29">
        <v>140</v>
      </c>
      <c r="G29">
        <v>29</v>
      </c>
      <c r="H29">
        <v>56</v>
      </c>
      <c r="I29">
        <v>566</v>
      </c>
      <c r="J29">
        <v>31.13</v>
      </c>
      <c r="K29">
        <v>16.87</v>
      </c>
      <c r="L29">
        <v>0.24030000000000001</v>
      </c>
      <c r="M29">
        <v>4.3E-3</v>
      </c>
      <c r="N29">
        <v>0.46360000000000001</v>
      </c>
      <c r="O29">
        <v>1.1361000000000001</v>
      </c>
      <c r="P29">
        <v>386.2</v>
      </c>
      <c r="Q29">
        <v>10051.44</v>
      </c>
      <c r="R29">
        <v>3.43</v>
      </c>
      <c r="S29">
        <v>50.82</v>
      </c>
      <c r="T29">
        <v>0.24940000000000001</v>
      </c>
      <c r="U29">
        <v>1.1341000000000001</v>
      </c>
      <c r="V29">
        <v>6.9570999999999996</v>
      </c>
      <c r="W29">
        <v>0.78159999999999996</v>
      </c>
      <c r="X29">
        <v>9.5799999999999996E-2</v>
      </c>
      <c r="Y29">
        <v>1.3792</v>
      </c>
      <c r="Z29" s="2">
        <v>98.1</v>
      </c>
      <c r="AA29" s="1">
        <v>1</v>
      </c>
      <c r="AB29" s="2">
        <v>100</v>
      </c>
      <c r="AC29" s="1">
        <v>1</v>
      </c>
    </row>
    <row r="30" spans="1:29" x14ac:dyDescent="0.3">
      <c r="A30">
        <f t="shared" si="0"/>
        <v>29</v>
      </c>
      <c r="B30">
        <v>2</v>
      </c>
      <c r="C30">
        <v>411</v>
      </c>
      <c r="D30">
        <v>140.19999999999999</v>
      </c>
      <c r="E30">
        <v>160</v>
      </c>
      <c r="F30">
        <v>155</v>
      </c>
      <c r="G30">
        <v>30</v>
      </c>
      <c r="H30">
        <v>60</v>
      </c>
      <c r="I30">
        <v>436</v>
      </c>
      <c r="J30">
        <v>52.87</v>
      </c>
      <c r="K30">
        <v>32.69</v>
      </c>
      <c r="L30">
        <v>0.16980000000000001</v>
      </c>
      <c r="M30">
        <v>5.9999999999999995E-4</v>
      </c>
      <c r="N30">
        <v>0.56710000000000005</v>
      </c>
      <c r="O30">
        <v>0.79630000000000001</v>
      </c>
      <c r="P30">
        <v>257.39999999999998</v>
      </c>
      <c r="Q30">
        <v>6869.21</v>
      </c>
      <c r="R30">
        <v>3.17</v>
      </c>
      <c r="S30">
        <v>84.36</v>
      </c>
      <c r="T30">
        <v>0.36480000000000001</v>
      </c>
      <c r="U30">
        <v>0.96799999999999997</v>
      </c>
      <c r="V30">
        <v>6.133</v>
      </c>
      <c r="W30">
        <v>0.65280000000000005</v>
      </c>
      <c r="X30">
        <v>6.4299999999999996E-2</v>
      </c>
      <c r="Y30">
        <v>2.0722999999999998</v>
      </c>
      <c r="Z30" s="2">
        <v>87.4</v>
      </c>
      <c r="AA30" s="1">
        <v>0</v>
      </c>
      <c r="AB30" s="2">
        <v>82.7</v>
      </c>
      <c r="AC30" s="1">
        <v>0</v>
      </c>
    </row>
    <row r="31" spans="1:29" x14ac:dyDescent="0.3">
      <c r="A31">
        <f t="shared" si="0"/>
        <v>30</v>
      </c>
      <c r="B31">
        <v>2</v>
      </c>
      <c r="C31">
        <v>616.4</v>
      </c>
      <c r="D31">
        <v>114.7</v>
      </c>
      <c r="E31">
        <v>153.30000000000001</v>
      </c>
      <c r="F31">
        <v>155</v>
      </c>
      <c r="G31">
        <v>28</v>
      </c>
      <c r="H31">
        <v>59</v>
      </c>
      <c r="I31">
        <v>399</v>
      </c>
      <c r="J31">
        <v>38.75</v>
      </c>
      <c r="K31">
        <v>25.91</v>
      </c>
      <c r="L31">
        <v>0.1419</v>
      </c>
      <c r="M31">
        <v>4.0000000000000002E-4</v>
      </c>
      <c r="N31">
        <v>0.55210000000000004</v>
      </c>
      <c r="O31">
        <v>1.0105</v>
      </c>
      <c r="P31">
        <v>393.3</v>
      </c>
      <c r="Q31">
        <v>11761.69</v>
      </c>
      <c r="R31">
        <v>3.18</v>
      </c>
      <c r="S31">
        <v>74.16</v>
      </c>
      <c r="T31">
        <v>0.28249999999999997</v>
      </c>
      <c r="U31">
        <v>1.1312</v>
      </c>
      <c r="V31">
        <v>3.8519999999999999</v>
      </c>
      <c r="W31">
        <v>0.81379999999999997</v>
      </c>
      <c r="X31">
        <v>6.0999999999999999E-2</v>
      </c>
      <c r="Y31">
        <v>1.7921</v>
      </c>
      <c r="Z31" s="2">
        <v>87.4</v>
      </c>
      <c r="AA31" s="1">
        <v>0</v>
      </c>
      <c r="AB31" s="2">
        <v>90</v>
      </c>
      <c r="AC31" s="1">
        <v>1</v>
      </c>
    </row>
    <row r="32" spans="1:29" x14ac:dyDescent="0.3">
      <c r="A32">
        <f t="shared" si="0"/>
        <v>31</v>
      </c>
      <c r="B32">
        <v>4</v>
      </c>
      <c r="C32">
        <v>705.9</v>
      </c>
      <c r="D32">
        <v>267.89999999999998</v>
      </c>
      <c r="E32">
        <v>189.2</v>
      </c>
      <c r="F32">
        <v>160</v>
      </c>
      <c r="G32">
        <v>1</v>
      </c>
      <c r="H32">
        <v>40</v>
      </c>
      <c r="I32">
        <v>577</v>
      </c>
      <c r="J32">
        <v>21.9</v>
      </c>
      <c r="K32">
        <v>6.46</v>
      </c>
      <c r="L32">
        <v>0.217</v>
      </c>
      <c r="M32">
        <v>2.58E-2</v>
      </c>
      <c r="N32">
        <v>0.29620000000000002</v>
      </c>
      <c r="O32">
        <v>0.51559999999999995</v>
      </c>
      <c r="P32">
        <v>253.13</v>
      </c>
      <c r="Q32">
        <v>8446.77</v>
      </c>
      <c r="R32">
        <v>2.33</v>
      </c>
      <c r="S32">
        <v>68.77</v>
      </c>
      <c r="T32">
        <v>0.1145</v>
      </c>
      <c r="U32">
        <v>0.93149999999999999</v>
      </c>
      <c r="V32">
        <v>9.7543000000000006</v>
      </c>
      <c r="W32">
        <v>0.88080000000000003</v>
      </c>
      <c r="X32">
        <v>0.114</v>
      </c>
      <c r="Y32">
        <v>1.4906999999999999</v>
      </c>
      <c r="Z32" s="2">
        <v>96.4</v>
      </c>
      <c r="AA32" s="1">
        <v>1</v>
      </c>
      <c r="AB32" s="2">
        <v>97</v>
      </c>
      <c r="AC32" s="1">
        <v>1</v>
      </c>
    </row>
    <row r="33" spans="1:29" x14ac:dyDescent="0.3">
      <c r="A33">
        <f t="shared" si="0"/>
        <v>32</v>
      </c>
      <c r="B33">
        <v>4</v>
      </c>
      <c r="C33">
        <v>805.5</v>
      </c>
      <c r="D33">
        <v>112.5</v>
      </c>
      <c r="E33">
        <v>210</v>
      </c>
      <c r="F33">
        <v>160</v>
      </c>
      <c r="G33">
        <v>1</v>
      </c>
      <c r="H33">
        <v>40</v>
      </c>
      <c r="I33">
        <v>269</v>
      </c>
      <c r="J33">
        <v>35.479999999999997</v>
      </c>
      <c r="K33">
        <v>18.420000000000002</v>
      </c>
      <c r="L33">
        <v>0.19120000000000001</v>
      </c>
      <c r="M33">
        <v>2.6599999999999999E-2</v>
      </c>
      <c r="N33">
        <v>0.26479999999999998</v>
      </c>
      <c r="O33">
        <v>0.68030000000000002</v>
      </c>
      <c r="P33">
        <v>441.55</v>
      </c>
      <c r="Q33">
        <v>4132.07</v>
      </c>
      <c r="R33">
        <v>2.2400000000000002</v>
      </c>
      <c r="S33">
        <v>69.64</v>
      </c>
      <c r="T33">
        <v>0.25280000000000002</v>
      </c>
      <c r="U33">
        <v>1.0122</v>
      </c>
      <c r="V33">
        <v>7.2683</v>
      </c>
      <c r="W33">
        <v>0.76160000000000005</v>
      </c>
      <c r="X33">
        <v>7.6999999999999999E-2</v>
      </c>
      <c r="Y33">
        <v>1.2065999999999999</v>
      </c>
      <c r="Z33" s="2">
        <v>94.9</v>
      </c>
      <c r="AA33" s="1">
        <v>1</v>
      </c>
      <c r="AB33" s="2">
        <v>96.2</v>
      </c>
      <c r="AC33" s="1">
        <v>1</v>
      </c>
    </row>
    <row r="34" spans="1:29" x14ac:dyDescent="0.3">
      <c r="A34">
        <f t="shared" si="0"/>
        <v>33</v>
      </c>
      <c r="B34">
        <v>2</v>
      </c>
      <c r="C34">
        <v>573.4</v>
      </c>
      <c r="D34">
        <v>264</v>
      </c>
      <c r="E34">
        <v>275.8</v>
      </c>
      <c r="F34">
        <v>295</v>
      </c>
      <c r="G34">
        <v>10</v>
      </c>
      <c r="H34">
        <v>68</v>
      </c>
      <c r="I34">
        <v>716</v>
      </c>
      <c r="J34">
        <v>45.92</v>
      </c>
      <c r="K34">
        <v>15.63</v>
      </c>
      <c r="L34">
        <v>0.2329</v>
      </c>
      <c r="M34">
        <v>5.4000000000000003E-3</v>
      </c>
      <c r="N34">
        <v>0.95389999999999997</v>
      </c>
      <c r="O34">
        <v>0.93120000000000003</v>
      </c>
      <c r="P34">
        <v>185.56</v>
      </c>
      <c r="Q34">
        <v>5957.91</v>
      </c>
      <c r="R34">
        <v>2.69</v>
      </c>
      <c r="S34">
        <v>23.44</v>
      </c>
      <c r="T34">
        <v>0.1988</v>
      </c>
      <c r="U34">
        <v>0.95209999999999995</v>
      </c>
      <c r="V34">
        <v>12.1812</v>
      </c>
      <c r="W34">
        <v>0.81489999999999996</v>
      </c>
      <c r="X34">
        <v>7.7299999999999994E-2</v>
      </c>
      <c r="Y34">
        <v>3.4839000000000002</v>
      </c>
      <c r="Z34" s="2">
        <v>83.6</v>
      </c>
      <c r="AA34" s="1">
        <v>0</v>
      </c>
      <c r="AB34" s="2">
        <v>86.4</v>
      </c>
      <c r="AC34" s="1">
        <v>0</v>
      </c>
    </row>
    <row r="35" spans="1:29" x14ac:dyDescent="0.3">
      <c r="A35">
        <f t="shared" si="0"/>
        <v>34</v>
      </c>
      <c r="B35">
        <v>2</v>
      </c>
      <c r="C35">
        <v>668.6</v>
      </c>
      <c r="D35">
        <v>122</v>
      </c>
      <c r="E35">
        <v>192</v>
      </c>
      <c r="F35">
        <v>150</v>
      </c>
      <c r="G35">
        <v>35</v>
      </c>
      <c r="H35">
        <v>65</v>
      </c>
      <c r="I35">
        <v>358</v>
      </c>
      <c r="J35">
        <v>26.63</v>
      </c>
      <c r="K35">
        <v>11.29</v>
      </c>
      <c r="L35">
        <v>0.2457</v>
      </c>
      <c r="M35">
        <v>7.1000000000000004E-3</v>
      </c>
      <c r="N35">
        <v>0.3402</v>
      </c>
      <c r="O35">
        <v>0.69579999999999997</v>
      </c>
      <c r="P35">
        <v>409.77</v>
      </c>
      <c r="Q35">
        <v>9581.6299999999992</v>
      </c>
      <c r="R35">
        <v>2.35</v>
      </c>
      <c r="S35">
        <v>53.5</v>
      </c>
      <c r="T35">
        <v>0.2336</v>
      </c>
      <c r="U35">
        <v>1.2060999999999999</v>
      </c>
      <c r="V35">
        <v>8.9274000000000004</v>
      </c>
      <c r="W35">
        <v>0.83050000000000002</v>
      </c>
      <c r="X35">
        <v>9.7600000000000006E-2</v>
      </c>
      <c r="Y35">
        <v>1.4501999999999999</v>
      </c>
      <c r="Z35" s="2">
        <v>94.2</v>
      </c>
      <c r="AA35" s="1">
        <v>1</v>
      </c>
      <c r="AB35" s="2">
        <v>92.7</v>
      </c>
      <c r="AC35" s="1">
        <v>1</v>
      </c>
    </row>
    <row r="36" spans="1:29" x14ac:dyDescent="0.3">
      <c r="A36">
        <f t="shared" si="0"/>
        <v>35</v>
      </c>
      <c r="B36">
        <v>3</v>
      </c>
      <c r="C36">
        <v>461.3</v>
      </c>
      <c r="D36">
        <v>101</v>
      </c>
      <c r="E36">
        <v>99.5</v>
      </c>
      <c r="F36">
        <v>100</v>
      </c>
      <c r="G36">
        <v>13</v>
      </c>
      <c r="H36">
        <v>22</v>
      </c>
      <c r="I36">
        <v>392</v>
      </c>
      <c r="J36">
        <v>25.78</v>
      </c>
      <c r="K36">
        <v>15.87</v>
      </c>
      <c r="L36">
        <v>0.21940000000000001</v>
      </c>
      <c r="M36">
        <v>0</v>
      </c>
      <c r="N36">
        <v>0.38950000000000001</v>
      </c>
      <c r="O36">
        <v>0.87070000000000003</v>
      </c>
      <c r="P36">
        <v>362.8</v>
      </c>
      <c r="Q36">
        <v>8720.2000000000007</v>
      </c>
      <c r="R36">
        <v>3.43</v>
      </c>
      <c r="S36">
        <v>41.78</v>
      </c>
      <c r="T36">
        <v>0.2636</v>
      </c>
      <c r="U36">
        <v>1.1093999999999999</v>
      </c>
      <c r="V36">
        <v>3.5164</v>
      </c>
      <c r="W36">
        <v>0.85</v>
      </c>
      <c r="X36">
        <v>6.4699999999999994E-2</v>
      </c>
      <c r="Y36">
        <v>1.2492000000000001</v>
      </c>
      <c r="Z36" s="2">
        <v>97</v>
      </c>
      <c r="AA36" s="1">
        <v>1</v>
      </c>
      <c r="AB36" s="2">
        <v>96</v>
      </c>
      <c r="AC36" s="1">
        <v>1</v>
      </c>
    </row>
    <row r="37" spans="1:29" x14ac:dyDescent="0.3">
      <c r="A37">
        <f t="shared" si="0"/>
        <v>36</v>
      </c>
      <c r="B37">
        <v>1</v>
      </c>
      <c r="C37">
        <v>1138.3</v>
      </c>
      <c r="D37">
        <v>161.69999999999999</v>
      </c>
      <c r="E37">
        <v>74.5</v>
      </c>
      <c r="F37">
        <v>65</v>
      </c>
      <c r="G37">
        <v>43</v>
      </c>
      <c r="H37">
        <v>56</v>
      </c>
      <c r="I37">
        <v>418</v>
      </c>
      <c r="J37">
        <v>19.350000000000001</v>
      </c>
      <c r="K37">
        <v>10.41</v>
      </c>
      <c r="L37">
        <v>0.23760000000000001</v>
      </c>
      <c r="M37">
        <v>8.6999999999999994E-3</v>
      </c>
      <c r="N37">
        <v>0.2994</v>
      </c>
      <c r="O37">
        <v>1.3660000000000001</v>
      </c>
      <c r="P37">
        <v>433.03</v>
      </c>
      <c r="Q37">
        <v>5690.04</v>
      </c>
      <c r="R37">
        <v>2.4300000000000002</v>
      </c>
      <c r="S37">
        <v>101.96</v>
      </c>
      <c r="T37">
        <v>0.26519999999999999</v>
      </c>
      <c r="U37">
        <v>0.71109999999999995</v>
      </c>
      <c r="V37">
        <v>4.2606999999999999</v>
      </c>
      <c r="W37">
        <v>0.84940000000000004</v>
      </c>
      <c r="X37">
        <v>0.11550000000000001</v>
      </c>
      <c r="Y37">
        <v>1.2739</v>
      </c>
      <c r="Z37" s="2">
        <v>95</v>
      </c>
      <c r="AA37" s="1">
        <v>1</v>
      </c>
      <c r="AB37" s="2">
        <v>95.3</v>
      </c>
      <c r="AC37" s="1">
        <v>1</v>
      </c>
    </row>
    <row r="38" spans="1:29" x14ac:dyDescent="0.3">
      <c r="A38">
        <f t="shared" si="0"/>
        <v>37</v>
      </c>
      <c r="B38">
        <v>2</v>
      </c>
      <c r="C38">
        <v>575.9</v>
      </c>
      <c r="D38">
        <v>103.2</v>
      </c>
      <c r="E38">
        <v>114.3</v>
      </c>
      <c r="F38">
        <v>95</v>
      </c>
      <c r="G38">
        <v>27</v>
      </c>
      <c r="H38">
        <v>45</v>
      </c>
      <c r="I38">
        <v>358</v>
      </c>
      <c r="J38">
        <v>28.25</v>
      </c>
      <c r="K38">
        <v>16.309999999999999</v>
      </c>
      <c r="L38">
        <v>0.22739999999999999</v>
      </c>
      <c r="M38">
        <v>3.3E-3</v>
      </c>
      <c r="N38">
        <v>0.35539999999999999</v>
      </c>
      <c r="O38">
        <v>0.85429999999999995</v>
      </c>
      <c r="P38">
        <v>405.95</v>
      </c>
      <c r="Q38">
        <v>10464.780000000001</v>
      </c>
      <c r="R38">
        <v>3.06</v>
      </c>
      <c r="S38">
        <v>55.78</v>
      </c>
      <c r="T38">
        <v>0.27329999999999999</v>
      </c>
      <c r="U38">
        <v>1.2595000000000001</v>
      </c>
      <c r="V38">
        <v>5.5967000000000002</v>
      </c>
      <c r="W38">
        <v>0.72840000000000005</v>
      </c>
      <c r="X38">
        <v>9.9000000000000005E-2</v>
      </c>
      <c r="Y38">
        <v>1.2455000000000001</v>
      </c>
      <c r="Z38" s="2">
        <v>94.1</v>
      </c>
      <c r="AA38" s="1">
        <v>1</v>
      </c>
      <c r="AB38" s="2">
        <v>95.2</v>
      </c>
      <c r="AC38" s="1">
        <v>1</v>
      </c>
    </row>
    <row r="39" spans="1:29" x14ac:dyDescent="0.3">
      <c r="A39">
        <f t="shared" si="0"/>
        <v>38</v>
      </c>
      <c r="B39">
        <v>3</v>
      </c>
      <c r="C39">
        <v>1213.5</v>
      </c>
      <c r="D39">
        <v>234.6</v>
      </c>
      <c r="E39">
        <v>145.9</v>
      </c>
      <c r="F39">
        <v>125</v>
      </c>
      <c r="G39">
        <v>14</v>
      </c>
      <c r="H39">
        <v>26</v>
      </c>
      <c r="I39">
        <v>716</v>
      </c>
      <c r="J39">
        <v>31.55</v>
      </c>
      <c r="K39">
        <v>16.690000000000001</v>
      </c>
      <c r="L39">
        <v>0.25080000000000002</v>
      </c>
      <c r="M39">
        <v>0</v>
      </c>
      <c r="N39">
        <v>0.4012</v>
      </c>
      <c r="O39">
        <v>0.96540000000000004</v>
      </c>
      <c r="P39">
        <v>386.56</v>
      </c>
      <c r="Q39">
        <v>8919.65</v>
      </c>
      <c r="R39">
        <v>2.88</v>
      </c>
      <c r="S39">
        <v>47.57</v>
      </c>
      <c r="T39">
        <v>0.25369999999999998</v>
      </c>
      <c r="U39">
        <v>0.96299999999999997</v>
      </c>
      <c r="V39">
        <v>4.4657</v>
      </c>
      <c r="W39">
        <v>0.77559999999999996</v>
      </c>
      <c r="X39">
        <v>6.1899999999999997E-2</v>
      </c>
      <c r="Y39">
        <v>1.569</v>
      </c>
      <c r="Z39" s="2">
        <v>96.7</v>
      </c>
      <c r="AA39" s="1">
        <v>1</v>
      </c>
      <c r="AB39" s="2">
        <v>98.9</v>
      </c>
      <c r="AC39" s="1">
        <v>1</v>
      </c>
    </row>
    <row r="40" spans="1:29" x14ac:dyDescent="0.3">
      <c r="A40">
        <f t="shared" si="0"/>
        <v>39</v>
      </c>
      <c r="B40">
        <v>2</v>
      </c>
      <c r="C40">
        <v>552.4</v>
      </c>
      <c r="D40">
        <v>227.3</v>
      </c>
      <c r="E40">
        <v>272.7</v>
      </c>
      <c r="F40">
        <v>375</v>
      </c>
      <c r="G40">
        <v>2</v>
      </c>
      <c r="H40">
        <v>76</v>
      </c>
      <c r="I40">
        <v>426</v>
      </c>
      <c r="J40">
        <v>24.54</v>
      </c>
      <c r="K40">
        <v>6.42</v>
      </c>
      <c r="L40">
        <v>0.2757</v>
      </c>
      <c r="M40">
        <v>1.06E-2</v>
      </c>
      <c r="N40">
        <v>0.82830000000000004</v>
      </c>
      <c r="O40">
        <v>0.47139999999999999</v>
      </c>
      <c r="P40">
        <v>232.86</v>
      </c>
      <c r="Q40">
        <v>8436.7199999999993</v>
      </c>
      <c r="R40">
        <v>1.8</v>
      </c>
      <c r="S40">
        <v>48.13</v>
      </c>
      <c r="T40">
        <v>0.13420000000000001</v>
      </c>
      <c r="U40">
        <v>1.2399</v>
      </c>
      <c r="V40">
        <v>23.343299999999999</v>
      </c>
      <c r="W40">
        <v>0.87849999999999995</v>
      </c>
      <c r="X40">
        <v>9.9699999999999997E-2</v>
      </c>
      <c r="Y40">
        <v>4.7976000000000001</v>
      </c>
      <c r="Z40" s="2">
        <v>79.900000000000006</v>
      </c>
      <c r="AA40" s="1">
        <v>0</v>
      </c>
      <c r="AB40" s="2">
        <v>82.9</v>
      </c>
      <c r="AC40" s="1">
        <v>0</v>
      </c>
    </row>
    <row r="41" spans="1:29" x14ac:dyDescent="0.3">
      <c r="A41">
        <f t="shared" si="0"/>
        <v>40</v>
      </c>
      <c r="B41">
        <v>2</v>
      </c>
      <c r="C41">
        <v>1207.0999999999999</v>
      </c>
      <c r="D41">
        <v>196.1</v>
      </c>
      <c r="E41">
        <v>143.1</v>
      </c>
      <c r="F41">
        <v>145</v>
      </c>
      <c r="G41">
        <v>25</v>
      </c>
      <c r="H41">
        <v>53</v>
      </c>
      <c r="I41">
        <v>534</v>
      </c>
      <c r="J41">
        <v>26.85</v>
      </c>
      <c r="K41">
        <v>16.63</v>
      </c>
      <c r="L41">
        <v>0.24110000000000001</v>
      </c>
      <c r="M41">
        <v>1.1999999999999999E-3</v>
      </c>
      <c r="N41">
        <v>0.42520000000000002</v>
      </c>
      <c r="O41">
        <v>1.3586</v>
      </c>
      <c r="P41">
        <v>425.86</v>
      </c>
      <c r="Q41">
        <v>13404.4</v>
      </c>
      <c r="R41">
        <v>2.4700000000000002</v>
      </c>
      <c r="S41">
        <v>89.23</v>
      </c>
      <c r="T41">
        <v>0.1673</v>
      </c>
      <c r="U41">
        <v>0.94679999999999997</v>
      </c>
      <c r="V41">
        <v>4.5606999999999998</v>
      </c>
      <c r="W41">
        <v>0.91539999999999999</v>
      </c>
      <c r="X41">
        <v>0.112</v>
      </c>
      <c r="Y41">
        <v>1.9225000000000001</v>
      </c>
      <c r="Z41" s="2">
        <v>96.5</v>
      </c>
      <c r="AA41" s="1">
        <v>1</v>
      </c>
      <c r="AB41" s="2">
        <v>94.1</v>
      </c>
      <c r="AC41" s="1">
        <v>1</v>
      </c>
    </row>
    <row r="42" spans="1:29" x14ac:dyDescent="0.3">
      <c r="A42">
        <f t="shared" si="0"/>
        <v>41</v>
      </c>
      <c r="B42">
        <v>1</v>
      </c>
      <c r="C42">
        <v>952.3</v>
      </c>
      <c r="D42">
        <v>139.69999999999999</v>
      </c>
      <c r="E42">
        <v>119.1</v>
      </c>
      <c r="F42">
        <v>110</v>
      </c>
      <c r="G42">
        <v>31</v>
      </c>
      <c r="H42">
        <v>52</v>
      </c>
      <c r="I42">
        <v>356</v>
      </c>
      <c r="J42">
        <v>26.43</v>
      </c>
      <c r="K42">
        <v>13.66</v>
      </c>
      <c r="L42">
        <v>0.23580000000000001</v>
      </c>
      <c r="M42">
        <v>9.7000000000000003E-3</v>
      </c>
      <c r="N42">
        <v>0.35399999999999998</v>
      </c>
      <c r="O42">
        <v>0.7419</v>
      </c>
      <c r="P42">
        <v>425.12</v>
      </c>
      <c r="Q42">
        <v>6243.8</v>
      </c>
      <c r="R42">
        <v>2.2999999999999998</v>
      </c>
      <c r="S42">
        <v>99.16</v>
      </c>
      <c r="T42">
        <v>0.23469999999999999</v>
      </c>
      <c r="U42">
        <v>1.3150999999999999</v>
      </c>
      <c r="V42">
        <v>6.1649000000000003</v>
      </c>
      <c r="W42">
        <v>0.79590000000000005</v>
      </c>
      <c r="X42">
        <v>0.1009</v>
      </c>
      <c r="Y42">
        <v>1.5898000000000001</v>
      </c>
      <c r="Z42" s="2">
        <v>91.3</v>
      </c>
      <c r="AA42" s="1">
        <v>1</v>
      </c>
      <c r="AB42" s="2">
        <v>88.8</v>
      </c>
      <c r="AC42" s="1">
        <v>0</v>
      </c>
    </row>
    <row r="43" spans="1:29" x14ac:dyDescent="0.3">
      <c r="A43">
        <f t="shared" si="0"/>
        <v>42</v>
      </c>
      <c r="B43">
        <v>1</v>
      </c>
      <c r="C43">
        <v>694.1</v>
      </c>
      <c r="D43">
        <v>111.6</v>
      </c>
      <c r="E43">
        <v>105.1</v>
      </c>
      <c r="F43">
        <v>110</v>
      </c>
      <c r="G43">
        <v>28</v>
      </c>
      <c r="H43">
        <v>49</v>
      </c>
      <c r="I43">
        <v>356</v>
      </c>
      <c r="J43">
        <v>19.149999999999999</v>
      </c>
      <c r="K43">
        <v>11.16</v>
      </c>
      <c r="L43">
        <v>0.24590000000000001</v>
      </c>
      <c r="M43">
        <v>5.3E-3</v>
      </c>
      <c r="N43">
        <v>0.3579</v>
      </c>
      <c r="O43">
        <v>0.90859999999999996</v>
      </c>
      <c r="P43">
        <v>406.72</v>
      </c>
      <c r="Q43">
        <v>7248.89</v>
      </c>
      <c r="R43">
        <v>2.87</v>
      </c>
      <c r="S43">
        <v>64.430000000000007</v>
      </c>
      <c r="T43">
        <v>0.24809999999999999</v>
      </c>
      <c r="U43">
        <v>1.1655</v>
      </c>
      <c r="V43">
        <v>7.7373000000000003</v>
      </c>
      <c r="W43">
        <v>0.79679999999999995</v>
      </c>
      <c r="X43">
        <v>0.1147</v>
      </c>
      <c r="Y43">
        <v>1.2935000000000001</v>
      </c>
      <c r="Z43" s="2">
        <v>87.8</v>
      </c>
      <c r="AA43" s="1">
        <v>0</v>
      </c>
      <c r="AB43" s="2">
        <v>91.5</v>
      </c>
      <c r="AC43" s="1">
        <v>1</v>
      </c>
    </row>
    <row r="44" spans="1:29" x14ac:dyDescent="0.3">
      <c r="A44">
        <f t="shared" si="0"/>
        <v>43</v>
      </c>
      <c r="B44">
        <v>1</v>
      </c>
      <c r="C44">
        <v>982.1</v>
      </c>
      <c r="D44">
        <v>191.8</v>
      </c>
      <c r="E44">
        <v>116.6</v>
      </c>
      <c r="F44">
        <v>95</v>
      </c>
      <c r="G44">
        <v>32</v>
      </c>
      <c r="H44">
        <v>50</v>
      </c>
      <c r="I44">
        <v>706</v>
      </c>
      <c r="J44">
        <v>18.95</v>
      </c>
      <c r="K44">
        <v>8.6300000000000008</v>
      </c>
      <c r="L44">
        <v>0.28270000000000001</v>
      </c>
      <c r="M44">
        <v>7.1999999999999998E-3</v>
      </c>
      <c r="N44">
        <v>0.44919999999999999</v>
      </c>
      <c r="O44">
        <v>0.84689999999999999</v>
      </c>
      <c r="P44">
        <v>378.81</v>
      </c>
      <c r="Q44">
        <v>4348.1899999999996</v>
      </c>
      <c r="R44">
        <v>3.25</v>
      </c>
      <c r="S44">
        <v>24.28</v>
      </c>
      <c r="T44">
        <v>0.20480000000000001</v>
      </c>
      <c r="U44">
        <v>1.0963000000000001</v>
      </c>
      <c r="V44">
        <v>7.6993</v>
      </c>
      <c r="W44">
        <v>0.81010000000000004</v>
      </c>
      <c r="X44">
        <v>0.1288</v>
      </c>
      <c r="Y44">
        <v>1.3973</v>
      </c>
      <c r="Z44" s="2">
        <v>96.4</v>
      </c>
      <c r="AA44" s="1">
        <v>1</v>
      </c>
      <c r="AB44" s="2">
        <v>89.4</v>
      </c>
      <c r="AC44" s="1">
        <v>0</v>
      </c>
    </row>
    <row r="45" spans="1:29" x14ac:dyDescent="0.3">
      <c r="A45">
        <f t="shared" si="0"/>
        <v>44</v>
      </c>
      <c r="B45">
        <v>2</v>
      </c>
      <c r="C45">
        <v>564.9</v>
      </c>
      <c r="D45">
        <v>216.4</v>
      </c>
      <c r="E45">
        <v>223.9</v>
      </c>
      <c r="F45">
        <v>270</v>
      </c>
      <c r="G45">
        <v>12</v>
      </c>
      <c r="H45">
        <v>69</v>
      </c>
      <c r="I45">
        <v>948</v>
      </c>
      <c r="J45">
        <v>43.1</v>
      </c>
      <c r="K45">
        <v>17.600000000000001</v>
      </c>
      <c r="L45">
        <v>0.2054</v>
      </c>
      <c r="M45">
        <v>4.0000000000000001E-3</v>
      </c>
      <c r="N45">
        <v>0.75039999999999996</v>
      </c>
      <c r="O45">
        <v>0.82310000000000005</v>
      </c>
      <c r="P45">
        <v>256.56</v>
      </c>
      <c r="Q45">
        <v>5157.3900000000003</v>
      </c>
      <c r="R45">
        <v>4.08</v>
      </c>
      <c r="S45">
        <v>7.15</v>
      </c>
      <c r="T45">
        <v>0.21129999999999999</v>
      </c>
      <c r="U45">
        <v>1.0820000000000001</v>
      </c>
      <c r="V45">
        <v>10.0984</v>
      </c>
      <c r="W45">
        <v>0.83009999999999995</v>
      </c>
      <c r="X45">
        <v>6.9900000000000004E-2</v>
      </c>
      <c r="Y45">
        <v>1.9182999999999999</v>
      </c>
      <c r="Z45" s="2">
        <v>73</v>
      </c>
      <c r="AA45" s="1">
        <v>0</v>
      </c>
      <c r="AB45" s="2">
        <v>69.400000000000006</v>
      </c>
      <c r="AC45" s="1">
        <v>0</v>
      </c>
    </row>
    <row r="46" spans="1:29" x14ac:dyDescent="0.3">
      <c r="A46">
        <f t="shared" si="0"/>
        <v>45</v>
      </c>
      <c r="B46">
        <v>2</v>
      </c>
      <c r="C46">
        <v>672.3</v>
      </c>
      <c r="D46">
        <v>268</v>
      </c>
      <c r="E46">
        <v>270</v>
      </c>
      <c r="F46">
        <v>395</v>
      </c>
      <c r="G46">
        <v>1</v>
      </c>
      <c r="H46">
        <v>79</v>
      </c>
      <c r="I46">
        <v>538</v>
      </c>
      <c r="J46">
        <v>26.59</v>
      </c>
      <c r="K46">
        <v>8.8800000000000008</v>
      </c>
      <c r="L46">
        <v>0.27029999999999998</v>
      </c>
      <c r="M46">
        <v>8.3000000000000001E-3</v>
      </c>
      <c r="N46">
        <v>0.4975</v>
      </c>
      <c r="O46">
        <v>0.64400000000000002</v>
      </c>
      <c r="P46">
        <v>274.55</v>
      </c>
      <c r="Q46">
        <v>8712.31</v>
      </c>
      <c r="R46">
        <v>1.79</v>
      </c>
      <c r="S46">
        <v>83.09</v>
      </c>
      <c r="T46">
        <v>0.1147</v>
      </c>
      <c r="U46">
        <v>0.95289999999999997</v>
      </c>
      <c r="V46">
        <v>19.740400000000001</v>
      </c>
      <c r="W46">
        <v>0.90310000000000001</v>
      </c>
      <c r="X46">
        <v>0.1014</v>
      </c>
      <c r="Y46">
        <v>2.9702999999999999</v>
      </c>
      <c r="Z46" s="2">
        <v>79</v>
      </c>
      <c r="AA46" s="1">
        <v>0</v>
      </c>
      <c r="AB46" s="2">
        <v>86.9</v>
      </c>
      <c r="AC46" s="1">
        <v>0</v>
      </c>
    </row>
    <row r="47" spans="1:29" x14ac:dyDescent="0.3">
      <c r="A47">
        <f t="shared" si="0"/>
        <v>46</v>
      </c>
      <c r="B47">
        <v>2</v>
      </c>
      <c r="C47">
        <v>970.6</v>
      </c>
      <c r="D47">
        <v>224.5</v>
      </c>
      <c r="E47">
        <v>258.8</v>
      </c>
      <c r="F47">
        <v>390</v>
      </c>
      <c r="G47">
        <v>3</v>
      </c>
      <c r="H47">
        <v>80</v>
      </c>
      <c r="I47">
        <v>718</v>
      </c>
      <c r="J47">
        <v>17.100000000000001</v>
      </c>
      <c r="K47">
        <v>5.31</v>
      </c>
      <c r="L47">
        <v>0.2949</v>
      </c>
      <c r="M47">
        <v>9.5999999999999992E-3</v>
      </c>
      <c r="N47">
        <v>0.6966</v>
      </c>
      <c r="O47">
        <v>0.7681</v>
      </c>
      <c r="P47">
        <v>364.55</v>
      </c>
      <c r="Q47">
        <v>8742.83</v>
      </c>
      <c r="R47">
        <v>2.99</v>
      </c>
      <c r="S47">
        <v>41.77</v>
      </c>
      <c r="T47">
        <v>9.11E-2</v>
      </c>
      <c r="U47">
        <v>1.1301000000000001</v>
      </c>
      <c r="V47">
        <v>26.082100000000001</v>
      </c>
      <c r="W47">
        <v>0.92749999999999999</v>
      </c>
      <c r="X47">
        <v>0.11940000000000001</v>
      </c>
      <c r="Y47">
        <v>2.2869000000000002</v>
      </c>
      <c r="Z47" s="2">
        <v>86.5</v>
      </c>
      <c r="AA47" s="1">
        <v>0</v>
      </c>
      <c r="AB47" s="2">
        <v>93.3</v>
      </c>
      <c r="AC47" s="1">
        <v>1</v>
      </c>
    </row>
    <row r="48" spans="1:29" x14ac:dyDescent="0.3">
      <c r="A48">
        <f t="shared" si="0"/>
        <v>47</v>
      </c>
      <c r="B48">
        <v>1</v>
      </c>
      <c r="C48">
        <v>1124.9000000000001</v>
      </c>
      <c r="D48">
        <v>195.7</v>
      </c>
      <c r="E48">
        <v>184.2</v>
      </c>
      <c r="F48">
        <v>195</v>
      </c>
      <c r="G48">
        <v>23</v>
      </c>
      <c r="H48">
        <v>61</v>
      </c>
      <c r="I48">
        <v>717</v>
      </c>
      <c r="J48">
        <v>27.51</v>
      </c>
      <c r="K48">
        <v>11.6</v>
      </c>
      <c r="L48">
        <v>0.26390000000000002</v>
      </c>
      <c r="M48">
        <v>3.7000000000000002E-3</v>
      </c>
      <c r="N48">
        <v>0.48170000000000002</v>
      </c>
      <c r="O48">
        <v>0.81289999999999996</v>
      </c>
      <c r="P48">
        <v>403.69</v>
      </c>
      <c r="Q48">
        <v>6624.58</v>
      </c>
      <c r="R48">
        <v>3.37</v>
      </c>
      <c r="S48">
        <v>37.33</v>
      </c>
      <c r="T48">
        <v>0.1971</v>
      </c>
      <c r="U48">
        <v>1.1149</v>
      </c>
      <c r="V48">
        <v>11.2323</v>
      </c>
      <c r="W48">
        <v>0.84789999999999999</v>
      </c>
      <c r="X48">
        <v>0.1055</v>
      </c>
      <c r="Y48">
        <v>1.4701</v>
      </c>
      <c r="Z48" s="2">
        <v>97.2</v>
      </c>
      <c r="AA48" s="1">
        <v>1</v>
      </c>
      <c r="AB48" s="2">
        <v>99.1</v>
      </c>
      <c r="AC48" s="1">
        <v>1</v>
      </c>
    </row>
    <row r="49" spans="1:29" x14ac:dyDescent="0.3">
      <c r="A49">
        <f t="shared" si="0"/>
        <v>48</v>
      </c>
      <c r="B49">
        <v>1</v>
      </c>
      <c r="C49">
        <v>747.6</v>
      </c>
      <c r="D49">
        <v>113.1</v>
      </c>
      <c r="E49">
        <v>129.9</v>
      </c>
      <c r="F49">
        <v>200</v>
      </c>
      <c r="G49">
        <v>8</v>
      </c>
      <c r="H49">
        <v>47</v>
      </c>
      <c r="I49">
        <v>358</v>
      </c>
      <c r="J49">
        <v>32.880000000000003</v>
      </c>
      <c r="K49">
        <v>13.2</v>
      </c>
      <c r="L49">
        <v>0.2203</v>
      </c>
      <c r="M49">
        <v>4.0000000000000001E-3</v>
      </c>
      <c r="N49">
        <v>0.442</v>
      </c>
      <c r="O49">
        <v>0.64829999999999999</v>
      </c>
      <c r="P49">
        <v>416.44</v>
      </c>
      <c r="Q49">
        <v>5411.91</v>
      </c>
      <c r="R49">
        <v>2.96</v>
      </c>
      <c r="S49">
        <v>58.97</v>
      </c>
      <c r="T49">
        <v>0.27089999999999997</v>
      </c>
      <c r="U49">
        <v>1.1819999999999999</v>
      </c>
      <c r="V49">
        <v>9.2919</v>
      </c>
      <c r="W49">
        <v>0.73880000000000001</v>
      </c>
      <c r="X49">
        <v>7.5300000000000006E-2</v>
      </c>
      <c r="Y49">
        <v>1.5336000000000001</v>
      </c>
      <c r="Z49" s="2">
        <v>91.2</v>
      </c>
      <c r="AA49" s="1">
        <v>1</v>
      </c>
      <c r="AB49" s="2">
        <v>97.4</v>
      </c>
      <c r="AC49" s="1">
        <v>1</v>
      </c>
    </row>
    <row r="50" spans="1:29" x14ac:dyDescent="0.3">
      <c r="A50">
        <f t="shared" si="0"/>
        <v>49</v>
      </c>
      <c r="B50">
        <v>1</v>
      </c>
      <c r="C50">
        <v>435.4</v>
      </c>
      <c r="D50">
        <v>91.3</v>
      </c>
      <c r="E50">
        <v>128.69999999999999</v>
      </c>
      <c r="F50">
        <v>110</v>
      </c>
      <c r="G50">
        <v>32</v>
      </c>
      <c r="H50">
        <v>53</v>
      </c>
      <c r="I50">
        <v>360</v>
      </c>
      <c r="J50">
        <v>38.07</v>
      </c>
      <c r="K50">
        <v>20.46</v>
      </c>
      <c r="L50">
        <v>0.19409999999999999</v>
      </c>
      <c r="M50">
        <v>1.1999999999999999E-3</v>
      </c>
      <c r="N50">
        <v>0.37580000000000002</v>
      </c>
      <c r="O50">
        <v>0.80589999999999995</v>
      </c>
      <c r="P50">
        <v>351.55</v>
      </c>
      <c r="Q50">
        <v>5984.28</v>
      </c>
      <c r="R50">
        <v>3.58</v>
      </c>
      <c r="S50">
        <v>30.85</v>
      </c>
      <c r="T50">
        <v>0.36890000000000001</v>
      </c>
      <c r="U50">
        <v>0.95399999999999996</v>
      </c>
      <c r="V50">
        <v>5.1410999999999998</v>
      </c>
      <c r="W50">
        <v>0.64790000000000003</v>
      </c>
      <c r="X50">
        <v>7.51E-2</v>
      </c>
      <c r="Y50">
        <v>1.1323000000000001</v>
      </c>
      <c r="Z50" s="2">
        <v>96.4</v>
      </c>
      <c r="AA50" s="1">
        <v>1</v>
      </c>
      <c r="AB50" s="2">
        <v>98.8</v>
      </c>
      <c r="AC50" s="1">
        <v>1</v>
      </c>
    </row>
    <row r="51" spans="1:29" x14ac:dyDescent="0.3">
      <c r="A51">
        <f t="shared" si="0"/>
        <v>50</v>
      </c>
      <c r="B51">
        <v>2</v>
      </c>
      <c r="C51">
        <v>652.79999999999995</v>
      </c>
      <c r="D51">
        <v>166.7</v>
      </c>
      <c r="E51">
        <v>168.8</v>
      </c>
      <c r="F51">
        <v>180</v>
      </c>
      <c r="G51">
        <v>27</v>
      </c>
      <c r="H51">
        <v>62</v>
      </c>
      <c r="I51">
        <v>714</v>
      </c>
      <c r="J51">
        <v>29.02</v>
      </c>
      <c r="K51">
        <v>14.77</v>
      </c>
      <c r="L51">
        <v>0.24</v>
      </c>
      <c r="M51">
        <v>4.7999999999999996E-3</v>
      </c>
      <c r="N51">
        <v>0.5514</v>
      </c>
      <c r="O51">
        <v>0.83840000000000003</v>
      </c>
      <c r="P51">
        <v>336.48</v>
      </c>
      <c r="Q51">
        <v>6673.3</v>
      </c>
      <c r="R51">
        <v>4.04</v>
      </c>
      <c r="S51">
        <v>13.68</v>
      </c>
      <c r="T51">
        <v>0.2326</v>
      </c>
      <c r="U51">
        <v>1.1348</v>
      </c>
      <c r="V51">
        <v>9.9356000000000009</v>
      </c>
      <c r="W51">
        <v>0.81069999999999998</v>
      </c>
      <c r="X51">
        <v>9.3100000000000002E-2</v>
      </c>
      <c r="Y51">
        <v>1.4252</v>
      </c>
      <c r="Z51" s="2">
        <v>92.6</v>
      </c>
      <c r="AA51" s="1">
        <v>1</v>
      </c>
      <c r="AB51" s="2">
        <v>91.6</v>
      </c>
      <c r="AC51" s="1">
        <v>1</v>
      </c>
    </row>
    <row r="52" spans="1:29" x14ac:dyDescent="0.3">
      <c r="A52">
        <f t="shared" si="0"/>
        <v>51</v>
      </c>
      <c r="B52">
        <v>2</v>
      </c>
      <c r="C52">
        <v>959.2</v>
      </c>
      <c r="D52">
        <v>151.5</v>
      </c>
      <c r="E52">
        <v>84.1</v>
      </c>
      <c r="F52">
        <v>70</v>
      </c>
      <c r="G52">
        <v>33</v>
      </c>
      <c r="H52">
        <v>47</v>
      </c>
      <c r="I52">
        <v>436</v>
      </c>
      <c r="J52">
        <v>23.43</v>
      </c>
      <c r="K52">
        <v>15.09</v>
      </c>
      <c r="L52">
        <v>0.19500000000000001</v>
      </c>
      <c r="M52">
        <v>2.5000000000000001E-3</v>
      </c>
      <c r="N52">
        <v>0.24030000000000001</v>
      </c>
      <c r="O52">
        <v>0.7994</v>
      </c>
      <c r="P52">
        <v>435.84</v>
      </c>
      <c r="Q52">
        <v>6797.03</v>
      </c>
      <c r="R52">
        <v>2.5299999999999998</v>
      </c>
      <c r="S52">
        <v>45.16</v>
      </c>
      <c r="T52">
        <v>0.32290000000000002</v>
      </c>
      <c r="U52">
        <v>1.0459000000000001</v>
      </c>
      <c r="V52">
        <v>4.0587999999999997</v>
      </c>
      <c r="W52">
        <v>0.70299999999999996</v>
      </c>
      <c r="X52">
        <v>9.35E-2</v>
      </c>
      <c r="Y52">
        <v>1.0418000000000001</v>
      </c>
      <c r="Z52" s="2">
        <v>91.3</v>
      </c>
      <c r="AA52" s="1">
        <v>1</v>
      </c>
      <c r="AB52" s="2">
        <v>88.8</v>
      </c>
      <c r="AC52" s="1">
        <v>0</v>
      </c>
    </row>
    <row r="53" spans="1:29" x14ac:dyDescent="0.3">
      <c r="A53">
        <f t="shared" si="0"/>
        <v>52</v>
      </c>
      <c r="B53">
        <v>2</v>
      </c>
      <c r="C53">
        <v>481.9</v>
      </c>
      <c r="D53">
        <v>189.5</v>
      </c>
      <c r="E53">
        <v>326.10000000000002</v>
      </c>
      <c r="F53">
        <v>300</v>
      </c>
      <c r="G53">
        <v>10</v>
      </c>
      <c r="H53">
        <v>69</v>
      </c>
      <c r="I53">
        <v>712</v>
      </c>
      <c r="J53">
        <v>70.239999999999995</v>
      </c>
      <c r="K53">
        <v>32.68</v>
      </c>
      <c r="L53">
        <v>0.1908</v>
      </c>
      <c r="M53">
        <v>5.4000000000000003E-3</v>
      </c>
      <c r="N53">
        <v>1.2317</v>
      </c>
      <c r="O53">
        <v>0.58819999999999995</v>
      </c>
      <c r="P53">
        <v>242.48</v>
      </c>
      <c r="Q53">
        <v>7247.07</v>
      </c>
      <c r="R53">
        <v>3.7</v>
      </c>
      <c r="S53">
        <v>16.489999999999998</v>
      </c>
      <c r="T53">
        <v>0.26769999999999999</v>
      </c>
      <c r="U53">
        <v>1.3592</v>
      </c>
      <c r="V53">
        <v>11.475300000000001</v>
      </c>
      <c r="W53">
        <v>0.752</v>
      </c>
      <c r="X53">
        <v>5.8200000000000002E-2</v>
      </c>
      <c r="Y53">
        <v>3.5760999999999998</v>
      </c>
      <c r="Z53" s="2">
        <v>95.5</v>
      </c>
      <c r="AA53" s="1">
        <v>1</v>
      </c>
      <c r="AB53" s="2">
        <v>93.8</v>
      </c>
      <c r="AC53" s="1">
        <v>1</v>
      </c>
    </row>
    <row r="54" spans="1:29" x14ac:dyDescent="0.3">
      <c r="A54">
        <f t="shared" si="0"/>
        <v>53</v>
      </c>
      <c r="B54">
        <v>2</v>
      </c>
      <c r="C54">
        <v>475.3</v>
      </c>
      <c r="D54">
        <v>104.2</v>
      </c>
      <c r="E54">
        <v>135.4</v>
      </c>
      <c r="F54">
        <v>135</v>
      </c>
      <c r="G54">
        <v>27</v>
      </c>
      <c r="H54">
        <v>54</v>
      </c>
      <c r="I54">
        <v>374</v>
      </c>
      <c r="J54">
        <v>47.14</v>
      </c>
      <c r="K54">
        <v>26.16</v>
      </c>
      <c r="L54">
        <v>0.16719999999999999</v>
      </c>
      <c r="M54">
        <v>5.9999999999999995E-4</v>
      </c>
      <c r="N54">
        <v>0.41249999999999998</v>
      </c>
      <c r="O54">
        <v>0.77729999999999999</v>
      </c>
      <c r="P54">
        <v>386.28</v>
      </c>
      <c r="Q54">
        <v>12858.07</v>
      </c>
      <c r="R54">
        <v>2.97</v>
      </c>
      <c r="S54">
        <v>49.94</v>
      </c>
      <c r="T54">
        <v>0.33350000000000002</v>
      </c>
      <c r="U54">
        <v>1.3278000000000001</v>
      </c>
      <c r="V54">
        <v>5.5521000000000003</v>
      </c>
      <c r="W54">
        <v>0.6532</v>
      </c>
      <c r="X54">
        <v>6.4199999999999993E-2</v>
      </c>
      <c r="Y54">
        <v>1.4258999999999999</v>
      </c>
      <c r="Z54" s="2">
        <v>76.599999999999994</v>
      </c>
      <c r="AA54" s="1">
        <v>0</v>
      </c>
      <c r="AB54" s="2">
        <v>70.900000000000006</v>
      </c>
      <c r="AC54" s="1">
        <v>0</v>
      </c>
    </row>
    <row r="55" spans="1:29" x14ac:dyDescent="0.3">
      <c r="A55">
        <f t="shared" si="0"/>
        <v>54</v>
      </c>
      <c r="B55">
        <v>2</v>
      </c>
      <c r="C55">
        <v>938.3</v>
      </c>
      <c r="D55">
        <v>204.6</v>
      </c>
      <c r="E55">
        <v>160.80000000000001</v>
      </c>
      <c r="F55">
        <v>125</v>
      </c>
      <c r="G55">
        <v>23</v>
      </c>
      <c r="H55">
        <v>47</v>
      </c>
      <c r="I55">
        <v>714</v>
      </c>
      <c r="J55">
        <v>25.57</v>
      </c>
      <c r="K55">
        <v>12.46</v>
      </c>
      <c r="L55">
        <v>0.26119999999999999</v>
      </c>
      <c r="M55">
        <v>4.1999999999999997E-3</v>
      </c>
      <c r="N55">
        <v>0.41899999999999998</v>
      </c>
      <c r="O55">
        <v>0.76219999999999999</v>
      </c>
      <c r="P55">
        <v>391.2</v>
      </c>
      <c r="Q55">
        <v>7955.43</v>
      </c>
      <c r="R55">
        <v>2.78</v>
      </c>
      <c r="S55">
        <v>44.33</v>
      </c>
      <c r="T55">
        <v>0.23100000000000001</v>
      </c>
      <c r="U55">
        <v>1.2917000000000001</v>
      </c>
      <c r="V55">
        <v>9.2965</v>
      </c>
      <c r="W55">
        <v>0.82689999999999997</v>
      </c>
      <c r="X55">
        <v>0.1144</v>
      </c>
      <c r="Y55">
        <v>1.4599</v>
      </c>
      <c r="Z55" s="2">
        <v>87.8</v>
      </c>
      <c r="AA55" s="1">
        <v>0</v>
      </c>
      <c r="AB55" s="2">
        <v>78</v>
      </c>
      <c r="AC55" s="1">
        <v>0</v>
      </c>
    </row>
    <row r="56" spans="1:29" x14ac:dyDescent="0.3">
      <c r="A56">
        <f t="shared" si="0"/>
        <v>55</v>
      </c>
      <c r="B56">
        <v>2</v>
      </c>
      <c r="C56">
        <v>654.79999999999995</v>
      </c>
      <c r="D56">
        <v>116</v>
      </c>
      <c r="E56">
        <v>174.5</v>
      </c>
      <c r="F56">
        <v>130</v>
      </c>
      <c r="G56">
        <v>25</v>
      </c>
      <c r="H56">
        <v>50</v>
      </c>
      <c r="I56">
        <v>358</v>
      </c>
      <c r="J56">
        <v>33.33</v>
      </c>
      <c r="K56">
        <v>12.18</v>
      </c>
      <c r="L56">
        <v>0.24099999999999999</v>
      </c>
      <c r="M56">
        <v>6.6E-3</v>
      </c>
      <c r="N56">
        <v>0.36940000000000001</v>
      </c>
      <c r="O56">
        <v>0.72840000000000005</v>
      </c>
      <c r="P56">
        <v>412.77</v>
      </c>
      <c r="Q56">
        <v>9968.09</v>
      </c>
      <c r="R56">
        <v>2.57</v>
      </c>
      <c r="S56">
        <v>76.45</v>
      </c>
      <c r="T56">
        <v>0.25009999999999999</v>
      </c>
      <c r="U56">
        <v>1.3169999999999999</v>
      </c>
      <c r="V56">
        <v>7.1162999999999998</v>
      </c>
      <c r="W56">
        <v>0.80959999999999999</v>
      </c>
      <c r="X56">
        <v>9.2700000000000005E-2</v>
      </c>
      <c r="Y56">
        <v>1.5525</v>
      </c>
      <c r="Z56" s="2">
        <v>86.8</v>
      </c>
      <c r="AA56" s="1">
        <v>0</v>
      </c>
      <c r="AB56" s="2">
        <v>80.2</v>
      </c>
      <c r="AC56" s="1">
        <v>0</v>
      </c>
    </row>
    <row r="57" spans="1:29" x14ac:dyDescent="0.3">
      <c r="A57">
        <f t="shared" si="0"/>
        <v>56</v>
      </c>
      <c r="B57">
        <v>2</v>
      </c>
      <c r="C57">
        <v>1767.6</v>
      </c>
      <c r="D57">
        <v>243.6</v>
      </c>
      <c r="E57">
        <v>147.19999999999999</v>
      </c>
      <c r="F57">
        <v>160</v>
      </c>
      <c r="G57">
        <v>25</v>
      </c>
      <c r="H57">
        <v>56</v>
      </c>
      <c r="I57">
        <v>396</v>
      </c>
      <c r="J57">
        <v>35.61</v>
      </c>
      <c r="K57">
        <v>20.149999999999999</v>
      </c>
      <c r="L57">
        <v>0.18940000000000001</v>
      </c>
      <c r="M57">
        <v>8.3000000000000001E-3</v>
      </c>
      <c r="N57">
        <v>0.1573</v>
      </c>
      <c r="O57">
        <v>0.64500000000000002</v>
      </c>
      <c r="P57">
        <v>449.75</v>
      </c>
      <c r="Q57">
        <v>7825.47</v>
      </c>
      <c r="R57">
        <v>1.46</v>
      </c>
      <c r="S57">
        <v>128.97999999999999</v>
      </c>
      <c r="T57">
        <v>0.28000000000000003</v>
      </c>
      <c r="U57">
        <v>1.1644000000000001</v>
      </c>
      <c r="V57">
        <v>6.5708000000000002</v>
      </c>
      <c r="W57">
        <v>0.70809999999999995</v>
      </c>
      <c r="X57">
        <v>7.0499999999999993E-2</v>
      </c>
      <c r="Y57">
        <v>1.0931999999999999</v>
      </c>
      <c r="Z57" s="2">
        <v>90.6</v>
      </c>
      <c r="AA57" s="1">
        <v>1</v>
      </c>
      <c r="AB57" s="2">
        <v>98</v>
      </c>
      <c r="AC57" s="1">
        <v>1</v>
      </c>
    </row>
    <row r="58" spans="1:29" x14ac:dyDescent="0.3">
      <c r="A58">
        <f t="shared" si="0"/>
        <v>57</v>
      </c>
      <c r="B58">
        <v>1</v>
      </c>
      <c r="C58">
        <v>558.1</v>
      </c>
      <c r="D58">
        <v>161.5</v>
      </c>
      <c r="E58">
        <v>132.30000000000001</v>
      </c>
      <c r="F58">
        <v>135</v>
      </c>
      <c r="G58">
        <v>29</v>
      </c>
      <c r="H58">
        <v>55</v>
      </c>
      <c r="I58">
        <v>714</v>
      </c>
      <c r="J58">
        <v>24.02</v>
      </c>
      <c r="K58">
        <v>9</v>
      </c>
      <c r="L58">
        <v>0.29289999999999999</v>
      </c>
      <c r="M58">
        <v>9.1000000000000004E-3</v>
      </c>
      <c r="N58">
        <v>0.47420000000000001</v>
      </c>
      <c r="O58">
        <v>0.90080000000000005</v>
      </c>
      <c r="P58">
        <v>298.39999999999998</v>
      </c>
      <c r="Q58">
        <v>7723.33</v>
      </c>
      <c r="R58">
        <v>4.26</v>
      </c>
      <c r="S58">
        <v>12.89</v>
      </c>
      <c r="T58">
        <v>0.19070000000000001</v>
      </c>
      <c r="U58">
        <v>1.0024999999999999</v>
      </c>
      <c r="V58">
        <v>8.4350000000000005</v>
      </c>
      <c r="W58">
        <v>0.82689999999999997</v>
      </c>
      <c r="X58">
        <v>0.1125</v>
      </c>
      <c r="Y58">
        <v>1.1846000000000001</v>
      </c>
      <c r="Z58" s="2">
        <v>98</v>
      </c>
      <c r="AA58" s="1">
        <v>1</v>
      </c>
      <c r="AB58" s="2">
        <v>94.4</v>
      </c>
      <c r="AC58" s="1">
        <v>1</v>
      </c>
    </row>
    <row r="59" spans="1:29" x14ac:dyDescent="0.3">
      <c r="A59">
        <f t="shared" si="0"/>
        <v>58</v>
      </c>
      <c r="B59">
        <v>1</v>
      </c>
      <c r="C59">
        <v>1523.7</v>
      </c>
      <c r="D59">
        <v>208.3</v>
      </c>
      <c r="E59">
        <v>71.400000000000006</v>
      </c>
      <c r="F59">
        <v>75</v>
      </c>
      <c r="G59">
        <v>33</v>
      </c>
      <c r="H59">
        <v>47</v>
      </c>
      <c r="I59">
        <v>476</v>
      </c>
      <c r="J59">
        <v>14.9</v>
      </c>
      <c r="K59">
        <v>6.61</v>
      </c>
      <c r="L59">
        <v>0.29239999999999999</v>
      </c>
      <c r="M59">
        <v>3.0000000000000001E-3</v>
      </c>
      <c r="N59">
        <v>0.27639999999999998</v>
      </c>
      <c r="O59">
        <v>0.86780000000000002</v>
      </c>
      <c r="P59">
        <v>445.05</v>
      </c>
      <c r="Q59">
        <v>2650.23</v>
      </c>
      <c r="R59">
        <v>2.23</v>
      </c>
      <c r="S59">
        <v>83.4</v>
      </c>
      <c r="T59">
        <v>0.23019999999999999</v>
      </c>
      <c r="U59">
        <v>0.81669999999999998</v>
      </c>
      <c r="V59">
        <v>6.0256999999999996</v>
      </c>
      <c r="W59">
        <v>0.79479999999999995</v>
      </c>
      <c r="X59">
        <v>0.1419</v>
      </c>
      <c r="Y59">
        <v>1.2888999999999999</v>
      </c>
      <c r="Z59" s="2">
        <v>88.7</v>
      </c>
      <c r="AA59" s="1">
        <v>0</v>
      </c>
      <c r="AB59" s="2">
        <v>82.3</v>
      </c>
      <c r="AC59" s="1">
        <v>0</v>
      </c>
    </row>
    <row r="60" spans="1:29" x14ac:dyDescent="0.3">
      <c r="A60">
        <f t="shared" si="0"/>
        <v>59</v>
      </c>
      <c r="B60">
        <v>2</v>
      </c>
      <c r="C60">
        <v>517.4</v>
      </c>
      <c r="D60">
        <v>107.5</v>
      </c>
      <c r="E60">
        <v>118.4</v>
      </c>
      <c r="F60">
        <v>125</v>
      </c>
      <c r="G60">
        <v>30</v>
      </c>
      <c r="H60">
        <v>54</v>
      </c>
      <c r="I60">
        <v>426</v>
      </c>
      <c r="J60">
        <v>35.25</v>
      </c>
      <c r="K60">
        <v>20.059999999999999</v>
      </c>
      <c r="L60">
        <v>0.23649999999999999</v>
      </c>
      <c r="M60">
        <v>4.1999999999999997E-3</v>
      </c>
      <c r="N60">
        <v>0.48830000000000001</v>
      </c>
      <c r="O60">
        <v>0.80359999999999998</v>
      </c>
      <c r="P60">
        <v>382.19</v>
      </c>
      <c r="Q60">
        <v>12295.57</v>
      </c>
      <c r="R60">
        <v>3.61</v>
      </c>
      <c r="S60">
        <v>40.22</v>
      </c>
      <c r="T60">
        <v>0.28810000000000002</v>
      </c>
      <c r="U60">
        <v>1.2668999999999999</v>
      </c>
      <c r="V60">
        <v>7.2998000000000003</v>
      </c>
      <c r="W60">
        <v>0.67779999999999996</v>
      </c>
      <c r="X60">
        <v>9.6199999999999994E-2</v>
      </c>
      <c r="Y60">
        <v>1.4166000000000001</v>
      </c>
      <c r="Z60" s="2">
        <v>93.9</v>
      </c>
      <c r="AA60" s="1">
        <v>1</v>
      </c>
      <c r="AB60" s="2">
        <v>92.2</v>
      </c>
      <c r="AC60" s="1">
        <v>1</v>
      </c>
    </row>
    <row r="61" spans="1:29" x14ac:dyDescent="0.3">
      <c r="A61">
        <f t="shared" si="0"/>
        <v>60</v>
      </c>
      <c r="B61">
        <v>2</v>
      </c>
      <c r="C61">
        <v>437.9</v>
      </c>
      <c r="D61">
        <v>96.5</v>
      </c>
      <c r="E61">
        <v>81.7</v>
      </c>
      <c r="F61">
        <v>85</v>
      </c>
      <c r="G61">
        <v>32</v>
      </c>
      <c r="H61">
        <v>48</v>
      </c>
      <c r="I61">
        <v>418</v>
      </c>
      <c r="J61">
        <v>29.95</v>
      </c>
      <c r="K61">
        <v>19.03</v>
      </c>
      <c r="L61">
        <v>0.20799999999999999</v>
      </c>
      <c r="M61">
        <v>1.4E-3</v>
      </c>
      <c r="N61">
        <v>0.39510000000000001</v>
      </c>
      <c r="O61">
        <v>1.0529999999999999</v>
      </c>
      <c r="P61">
        <v>338.88</v>
      </c>
      <c r="Q61">
        <v>5512.05</v>
      </c>
      <c r="R61">
        <v>4.18</v>
      </c>
      <c r="S61">
        <v>15.22</v>
      </c>
      <c r="T61">
        <v>0.32190000000000002</v>
      </c>
      <c r="U61">
        <v>0.87690000000000001</v>
      </c>
      <c r="V61">
        <v>4.3554000000000004</v>
      </c>
      <c r="W61">
        <v>0.5585</v>
      </c>
      <c r="X61">
        <v>8.8099999999999998E-2</v>
      </c>
      <c r="Y61">
        <v>0.98619999999999997</v>
      </c>
      <c r="Z61" s="2">
        <v>91.5</v>
      </c>
      <c r="AA61" s="1">
        <v>1</v>
      </c>
      <c r="AB61" s="2">
        <v>91.9</v>
      </c>
      <c r="AC61" s="1">
        <v>1</v>
      </c>
    </row>
    <row r="62" spans="1:29" x14ac:dyDescent="0.3">
      <c r="A62">
        <f t="shared" si="0"/>
        <v>61</v>
      </c>
      <c r="B62">
        <v>2</v>
      </c>
      <c r="C62">
        <v>1094.4000000000001</v>
      </c>
      <c r="D62">
        <v>191.9</v>
      </c>
      <c r="E62">
        <v>61.5</v>
      </c>
      <c r="F62">
        <v>65</v>
      </c>
      <c r="G62">
        <v>35</v>
      </c>
      <c r="H62">
        <v>47</v>
      </c>
      <c r="I62">
        <v>662</v>
      </c>
      <c r="J62">
        <v>19.510000000000002</v>
      </c>
      <c r="K62">
        <v>11.18</v>
      </c>
      <c r="L62">
        <v>0.2611</v>
      </c>
      <c r="M62">
        <v>8.0000000000000004E-4</v>
      </c>
      <c r="N62">
        <v>0.26390000000000002</v>
      </c>
      <c r="O62">
        <v>0.99170000000000003</v>
      </c>
      <c r="P62">
        <v>408.62</v>
      </c>
      <c r="Q62">
        <v>7070.07</v>
      </c>
      <c r="R62">
        <v>3.07</v>
      </c>
      <c r="S62">
        <v>33.6</v>
      </c>
      <c r="T62">
        <v>0.25509999999999999</v>
      </c>
      <c r="U62">
        <v>0.94479999999999997</v>
      </c>
      <c r="V62">
        <v>4.6500000000000004</v>
      </c>
      <c r="W62">
        <v>0.67610000000000003</v>
      </c>
      <c r="X62">
        <v>0.12820000000000001</v>
      </c>
      <c r="Y62">
        <v>0.90700000000000003</v>
      </c>
      <c r="Z62" s="2">
        <v>91.4</v>
      </c>
      <c r="AA62" s="1">
        <v>1</v>
      </c>
      <c r="AB62" s="2">
        <v>90.4</v>
      </c>
      <c r="AC62" s="1">
        <v>1</v>
      </c>
    </row>
    <row r="63" spans="1:29" x14ac:dyDescent="0.3">
      <c r="A63">
        <f t="shared" si="0"/>
        <v>62</v>
      </c>
      <c r="B63">
        <v>2</v>
      </c>
      <c r="C63">
        <v>446</v>
      </c>
      <c r="D63">
        <v>200</v>
      </c>
      <c r="E63">
        <v>245.8</v>
      </c>
      <c r="F63">
        <v>215</v>
      </c>
      <c r="G63">
        <v>22</v>
      </c>
      <c r="H63">
        <v>64</v>
      </c>
      <c r="I63">
        <v>712</v>
      </c>
      <c r="J63">
        <v>50.71</v>
      </c>
      <c r="K63">
        <v>21.9</v>
      </c>
      <c r="L63">
        <v>0.2205</v>
      </c>
      <c r="M63">
        <v>3.3E-3</v>
      </c>
      <c r="N63">
        <v>1.1319999999999999</v>
      </c>
      <c r="O63">
        <v>0.67969999999999997</v>
      </c>
      <c r="P63">
        <v>217.26</v>
      </c>
      <c r="Q63">
        <v>6367.05</v>
      </c>
      <c r="R63">
        <v>3.48</v>
      </c>
      <c r="S63">
        <v>20.38</v>
      </c>
      <c r="T63">
        <v>0.26179999999999998</v>
      </c>
      <c r="U63">
        <v>1.2079</v>
      </c>
      <c r="V63">
        <v>10.9573</v>
      </c>
      <c r="W63">
        <v>0.75560000000000005</v>
      </c>
      <c r="X63">
        <v>7.7499999999999999E-2</v>
      </c>
      <c r="Y63">
        <v>3.4001000000000001</v>
      </c>
      <c r="Z63" s="2">
        <v>90.8</v>
      </c>
      <c r="AA63" s="1">
        <v>1</v>
      </c>
      <c r="AB63" s="2">
        <v>99.9</v>
      </c>
      <c r="AC63" s="1">
        <v>1</v>
      </c>
    </row>
    <row r="64" spans="1:29" x14ac:dyDescent="0.3">
      <c r="A64">
        <f t="shared" si="0"/>
        <v>63</v>
      </c>
      <c r="B64">
        <v>2</v>
      </c>
      <c r="C64">
        <v>323</v>
      </c>
      <c r="D64">
        <v>92.5</v>
      </c>
      <c r="E64">
        <v>99.8</v>
      </c>
      <c r="F64">
        <v>110</v>
      </c>
      <c r="G64">
        <v>28</v>
      </c>
      <c r="H64">
        <v>49</v>
      </c>
      <c r="I64">
        <v>416</v>
      </c>
      <c r="J64">
        <v>33.18</v>
      </c>
      <c r="K64">
        <v>22.2</v>
      </c>
      <c r="L64">
        <v>0.17050000000000001</v>
      </c>
      <c r="M64">
        <v>3.3E-3</v>
      </c>
      <c r="N64">
        <v>0.3498</v>
      </c>
      <c r="O64">
        <v>0.96309999999999996</v>
      </c>
      <c r="P64">
        <v>312.61</v>
      </c>
      <c r="Q64">
        <v>6129.18</v>
      </c>
      <c r="R64">
        <v>4.43</v>
      </c>
      <c r="S64">
        <v>5.63</v>
      </c>
      <c r="T64">
        <v>0.36449999999999999</v>
      </c>
      <c r="U64">
        <v>0.84509999999999996</v>
      </c>
      <c r="V64">
        <v>4.2984999999999998</v>
      </c>
      <c r="W64">
        <v>0.64849999999999997</v>
      </c>
      <c r="X64">
        <v>6.9599999999999995E-2</v>
      </c>
      <c r="Y64">
        <v>0.90810000000000002</v>
      </c>
      <c r="Z64" s="2">
        <v>94.4</v>
      </c>
      <c r="AA64" s="1">
        <v>1</v>
      </c>
      <c r="AB64" s="2">
        <v>90.7</v>
      </c>
      <c r="AC64" s="1">
        <v>1</v>
      </c>
    </row>
    <row r="65" spans="1:29" x14ac:dyDescent="0.3">
      <c r="A65">
        <f t="shared" si="0"/>
        <v>64</v>
      </c>
      <c r="B65">
        <v>2</v>
      </c>
      <c r="C65">
        <v>582.4</v>
      </c>
      <c r="D65">
        <v>166.1</v>
      </c>
      <c r="E65">
        <v>250.9</v>
      </c>
      <c r="F65">
        <v>310</v>
      </c>
      <c r="G65">
        <v>8</v>
      </c>
      <c r="H65">
        <v>69</v>
      </c>
      <c r="I65">
        <v>712</v>
      </c>
      <c r="J65">
        <v>49.01</v>
      </c>
      <c r="K65">
        <v>16.22</v>
      </c>
      <c r="L65">
        <v>0.21340000000000001</v>
      </c>
      <c r="M65">
        <v>6.3E-3</v>
      </c>
      <c r="N65">
        <v>0.87019999999999997</v>
      </c>
      <c r="O65">
        <v>0.63819999999999999</v>
      </c>
      <c r="P65">
        <v>294.02999999999997</v>
      </c>
      <c r="Q65">
        <v>8727.2199999999993</v>
      </c>
      <c r="R65">
        <v>4.3099999999999996</v>
      </c>
      <c r="S65">
        <v>21.2</v>
      </c>
      <c r="T65">
        <v>0.2253</v>
      </c>
      <c r="U65">
        <v>1.56</v>
      </c>
      <c r="V65">
        <v>12.214499999999999</v>
      </c>
      <c r="W65">
        <v>0.76929999999999998</v>
      </c>
      <c r="X65">
        <v>6.7000000000000004E-2</v>
      </c>
      <c r="Y65">
        <v>2.0497999999999998</v>
      </c>
      <c r="Z65" s="2">
        <v>86.8</v>
      </c>
      <c r="AA65" s="1">
        <v>0</v>
      </c>
      <c r="AB65" s="2">
        <v>83</v>
      </c>
      <c r="AC65" s="1">
        <v>0</v>
      </c>
    </row>
    <row r="66" spans="1:29" x14ac:dyDescent="0.3">
      <c r="A66">
        <f t="shared" si="0"/>
        <v>65</v>
      </c>
      <c r="B66">
        <v>3</v>
      </c>
      <c r="C66">
        <v>384.2</v>
      </c>
      <c r="D66">
        <v>101</v>
      </c>
      <c r="E66">
        <v>122.4</v>
      </c>
      <c r="F66">
        <v>120</v>
      </c>
      <c r="G66">
        <v>16</v>
      </c>
      <c r="H66">
        <v>27</v>
      </c>
      <c r="I66">
        <v>416</v>
      </c>
      <c r="J66">
        <v>50.62</v>
      </c>
      <c r="K66">
        <v>36.03</v>
      </c>
      <c r="L66">
        <v>0.18709999999999999</v>
      </c>
      <c r="M66">
        <v>0</v>
      </c>
      <c r="N66">
        <v>0.53159999999999996</v>
      </c>
      <c r="O66">
        <v>0.81069999999999998</v>
      </c>
      <c r="P66">
        <v>301.02</v>
      </c>
      <c r="Q66">
        <v>7981.39</v>
      </c>
      <c r="R66">
        <v>3.99</v>
      </c>
      <c r="S66">
        <v>21.08</v>
      </c>
      <c r="T66">
        <v>0.33789999999999998</v>
      </c>
      <c r="U66">
        <v>1.0244</v>
      </c>
      <c r="V66">
        <v>3.4832000000000001</v>
      </c>
      <c r="W66">
        <v>0.54749999999999999</v>
      </c>
      <c r="X66">
        <v>4.6899999999999997E-2</v>
      </c>
      <c r="Y66">
        <v>1.2684</v>
      </c>
      <c r="Z66" s="2">
        <v>93.1</v>
      </c>
      <c r="AA66" s="1">
        <v>1</v>
      </c>
      <c r="AB66" s="2">
        <v>92.9</v>
      </c>
      <c r="AC66" s="1">
        <v>1</v>
      </c>
    </row>
    <row r="67" spans="1:29" x14ac:dyDescent="0.3">
      <c r="A67">
        <f t="shared" si="0"/>
        <v>66</v>
      </c>
      <c r="B67">
        <v>3</v>
      </c>
      <c r="C67">
        <v>363.3</v>
      </c>
      <c r="D67">
        <v>107.8</v>
      </c>
      <c r="E67">
        <v>154.6</v>
      </c>
      <c r="F67">
        <v>155</v>
      </c>
      <c r="G67">
        <v>13</v>
      </c>
      <c r="H67">
        <v>28</v>
      </c>
      <c r="I67">
        <v>446</v>
      </c>
      <c r="J67">
        <v>64.349999999999994</v>
      </c>
      <c r="K67">
        <v>38.340000000000003</v>
      </c>
      <c r="L67">
        <v>0.17380000000000001</v>
      </c>
      <c r="M67">
        <v>0</v>
      </c>
      <c r="N67">
        <v>0.49020000000000002</v>
      </c>
      <c r="O67">
        <v>0.73470000000000002</v>
      </c>
      <c r="P67">
        <v>254.89</v>
      </c>
      <c r="Q67">
        <v>6222.9</v>
      </c>
      <c r="R67">
        <v>4.05</v>
      </c>
      <c r="S67">
        <v>10.199999999999999</v>
      </c>
      <c r="T67">
        <v>0.3785</v>
      </c>
      <c r="U67">
        <v>0.91649999999999998</v>
      </c>
      <c r="V67">
        <v>3.7065999999999999</v>
      </c>
      <c r="W67">
        <v>0.48010000000000003</v>
      </c>
      <c r="X67">
        <v>3.6499999999999998E-2</v>
      </c>
      <c r="Y67">
        <v>1.2387999999999999</v>
      </c>
      <c r="Z67" s="2">
        <v>98.2</v>
      </c>
      <c r="AA67" s="1">
        <v>1</v>
      </c>
      <c r="AB67" s="2">
        <v>98.1</v>
      </c>
      <c r="AC67" s="1">
        <v>1</v>
      </c>
    </row>
    <row r="68" spans="1:29" x14ac:dyDescent="0.3">
      <c r="A68">
        <f t="shared" ref="A68:A70" si="1">A67+1</f>
        <v>67</v>
      </c>
      <c r="B68">
        <v>2</v>
      </c>
      <c r="C68">
        <v>651</v>
      </c>
      <c r="D68">
        <v>169.8</v>
      </c>
      <c r="E68">
        <v>144</v>
      </c>
      <c r="F68">
        <v>130</v>
      </c>
      <c r="G68">
        <v>28</v>
      </c>
      <c r="H68">
        <v>53</v>
      </c>
      <c r="I68">
        <v>712</v>
      </c>
      <c r="J68">
        <v>31.17</v>
      </c>
      <c r="K68">
        <v>16.809999999999999</v>
      </c>
      <c r="L68">
        <v>0.22550000000000001</v>
      </c>
      <c r="M68">
        <v>2.0999999999999999E-3</v>
      </c>
      <c r="N68">
        <v>0.3821</v>
      </c>
      <c r="O68">
        <v>0.88639999999999997</v>
      </c>
      <c r="P68">
        <v>361.68</v>
      </c>
      <c r="Q68">
        <v>7661.38</v>
      </c>
      <c r="R68">
        <v>3.83</v>
      </c>
      <c r="S68">
        <v>21.5</v>
      </c>
      <c r="T68">
        <v>0.28289999999999998</v>
      </c>
      <c r="U68">
        <v>0.94030000000000002</v>
      </c>
      <c r="V68">
        <v>6.1163999999999996</v>
      </c>
      <c r="W68">
        <v>0.78580000000000005</v>
      </c>
      <c r="X68">
        <v>8.5800000000000001E-2</v>
      </c>
      <c r="Y68">
        <v>1.1453</v>
      </c>
      <c r="Z68" s="2">
        <v>71.8</v>
      </c>
      <c r="AA68" s="1">
        <v>0</v>
      </c>
      <c r="AB68" s="2">
        <v>62.8</v>
      </c>
      <c r="AC68" s="1">
        <v>0</v>
      </c>
    </row>
    <row r="69" spans="1:29" x14ac:dyDescent="0.3">
      <c r="A69">
        <f t="shared" si="1"/>
        <v>68</v>
      </c>
      <c r="B69">
        <v>2</v>
      </c>
      <c r="C69">
        <v>471.5</v>
      </c>
      <c r="D69">
        <v>146.5</v>
      </c>
      <c r="E69">
        <v>118.5</v>
      </c>
      <c r="F69">
        <v>125</v>
      </c>
      <c r="G69">
        <v>29</v>
      </c>
      <c r="H69">
        <v>53</v>
      </c>
      <c r="I69">
        <v>446</v>
      </c>
      <c r="J69">
        <v>38.85</v>
      </c>
      <c r="K69">
        <v>22.1</v>
      </c>
      <c r="L69">
        <v>0.2097</v>
      </c>
      <c r="M69">
        <v>3.0999999999999999E-3</v>
      </c>
      <c r="N69">
        <v>0.54169999999999996</v>
      </c>
      <c r="O69">
        <v>0.79579999999999995</v>
      </c>
      <c r="P69">
        <v>293.06</v>
      </c>
      <c r="Q69">
        <v>7747.95</v>
      </c>
      <c r="R69">
        <v>2.85</v>
      </c>
      <c r="S69">
        <v>68.16</v>
      </c>
      <c r="T69">
        <v>0.32229999999999998</v>
      </c>
      <c r="U69">
        <v>0.9738</v>
      </c>
      <c r="V69">
        <v>6.5396000000000001</v>
      </c>
      <c r="W69">
        <v>0.57399999999999995</v>
      </c>
      <c r="X69">
        <v>8.5099999999999995E-2</v>
      </c>
      <c r="Y69">
        <v>1.9192</v>
      </c>
      <c r="Z69" s="2">
        <v>86.3</v>
      </c>
      <c r="AA69" s="1">
        <v>0</v>
      </c>
      <c r="AB69" s="2">
        <v>82.4</v>
      </c>
      <c r="AC69" s="1">
        <v>0</v>
      </c>
    </row>
    <row r="70" spans="1:29" x14ac:dyDescent="0.3">
      <c r="A70">
        <f t="shared" si="1"/>
        <v>69</v>
      </c>
      <c r="B70">
        <v>5</v>
      </c>
      <c r="C70">
        <v>615</v>
      </c>
      <c r="D70">
        <v>174.8</v>
      </c>
      <c r="E70">
        <v>173.3</v>
      </c>
      <c r="F70">
        <v>230</v>
      </c>
      <c r="G70">
        <v>9</v>
      </c>
      <c r="H70">
        <v>51</v>
      </c>
      <c r="I70">
        <v>446</v>
      </c>
      <c r="J70">
        <v>36.72</v>
      </c>
      <c r="K70">
        <v>11.02</v>
      </c>
      <c r="L70">
        <v>0.1653</v>
      </c>
      <c r="M70">
        <v>1.15E-2</v>
      </c>
      <c r="N70">
        <v>0.63880000000000003</v>
      </c>
      <c r="O70">
        <v>0.43309999999999998</v>
      </c>
      <c r="P70">
        <v>257.05</v>
      </c>
      <c r="Q70">
        <v>5406.85</v>
      </c>
      <c r="R70">
        <v>2.61</v>
      </c>
      <c r="S70">
        <v>32.07</v>
      </c>
      <c r="T70">
        <v>0.25750000000000001</v>
      </c>
      <c r="U70">
        <v>1.3522000000000001</v>
      </c>
      <c r="V70">
        <v>7.1521999999999997</v>
      </c>
      <c r="W70">
        <v>0.75319999999999998</v>
      </c>
      <c r="X70">
        <v>4.6300000000000001E-2</v>
      </c>
      <c r="Y70">
        <v>2.5564</v>
      </c>
      <c r="Z70" s="2">
        <v>93.3</v>
      </c>
      <c r="AA70" s="1">
        <v>1</v>
      </c>
      <c r="AB70" s="2">
        <v>93</v>
      </c>
      <c r="AC7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Lung Total Composite 6.16.23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cp:lastModifiedBy>Troy</cp:lastModifiedBy>
  <dcterms:created xsi:type="dcterms:W3CDTF">2025-11-08T22:00:00Z</dcterms:created>
  <dcterms:modified xsi:type="dcterms:W3CDTF">2025-11-08T22:14:20Z</dcterms:modified>
</cp:coreProperties>
</file>