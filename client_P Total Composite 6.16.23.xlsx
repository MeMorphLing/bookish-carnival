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ropbox\Troy\2020 NW\projects\3_proj_plan metric\complexity_code\3 zz_regression\"/>
    </mc:Choice>
  </mc:AlternateContent>
  <xr:revisionPtr revIDLastSave="0" documentId="13_ncr:1_{BA03D9DA-02FB-4DA5-8FC2-228F4F6F1969}" xr6:coauthVersionLast="47" xr6:coauthVersionMax="47" xr10:uidLastSave="{00000000-0000-0000-0000-000000000000}"/>
  <bookViews>
    <workbookView xWindow="-108" yWindow="-108" windowWidth="23256" windowHeight="12456" xr2:uid="{7C560386-F3F2-4109-834F-C4D21005C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3" i="1"/>
</calcChain>
</file>

<file path=xl/sharedStrings.xml><?xml version="1.0" encoding="utf-8"?>
<sst xmlns="http://schemas.openxmlformats.org/spreadsheetml/2006/main" count="29" uniqueCount="29">
  <si>
    <t xml:space="preserve"> MachineName</t>
  </si>
  <si>
    <t xml:space="preserve"> MU</t>
  </si>
  <si>
    <t xml:space="preserve"> beam-on time</t>
  </si>
  <si>
    <t xml:space="preserve"> FX</t>
  </si>
  <si>
    <t xml:space="preserve"> FY</t>
  </si>
  <si>
    <t xml:space="preserve"> lowerleaf</t>
  </si>
  <si>
    <t xml:space="preserve"> upperleaf</t>
  </si>
  <si>
    <t xml:space="preserve"> Arclength</t>
  </si>
  <si>
    <t xml:space="preserve"> meanMLCgap</t>
  </si>
  <si>
    <t xml:space="preserve"> Q1Gap</t>
  </si>
  <si>
    <t xml:space="preserve"> meanTGi</t>
  </si>
  <si>
    <t xml:space="preserve"> interdigitate</t>
  </si>
  <si>
    <t xml:space="preserve"> meanMLCSpeed</t>
  </si>
  <si>
    <t xml:space="preserve"> MLCSpeedModulation</t>
  </si>
  <si>
    <t xml:space="preserve"> meanRR</t>
  </si>
  <si>
    <t xml:space="preserve"> RRmodulation</t>
  </si>
  <si>
    <t xml:space="preserve"> meanGS</t>
  </si>
  <si>
    <t xml:space="preserve"> GSmodulation</t>
  </si>
  <si>
    <t xml:space="preserve"> MCS</t>
  </si>
  <si>
    <t xml:space="preserve"> MITotal</t>
  </si>
  <si>
    <t xml:space="preserve"> PI</t>
  </si>
  <si>
    <t xml:space="preserve"> PM</t>
  </si>
  <si>
    <t xml:space="preserve"> EdgeMetric</t>
  </si>
  <si>
    <t xml:space="preserve"> LT/AL</t>
  </si>
  <si>
    <t>outcome_predict1(2p-2mm)</t>
  </si>
  <si>
    <t>outcome_predict1(2p-2mm_bin)</t>
  </si>
  <si>
    <t>outcome_predict2(T218)</t>
  </si>
  <si>
    <t>outcome_predict2(T218_90%_bin)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</si>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</sst>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1DBF-5B5B-4B39-B62E-3D476919A030}">
  <dimension ref="A1:AC151"/>
  <sheetViews>
    <sheetView tabSelected="1" topLeftCell="W1" workbookViewId="0">
      <selection activeCell="AB1" sqref="AB1:AB1048576"/>
    </sheetView>
  </sheetViews>
  <sheetFormatPr defaultRowHeight="14.4" x14ac:dyDescent="0.3"/>
  <cols>
    <col min="1" max="1" width="12.88671875" style="1" bestFit="1" customWidth="1"/>
    <col min="26" max="26" width="18.5546875" style="2" customWidth="1"/>
    <col min="27" max="27" width="18.5546875" customWidth="1"/>
    <col min="28" max="28" width="18.5546875" style="2" customWidth="1"/>
    <col min="29" max="29" width="18.5546875" customWidth="1"/>
  </cols>
  <sheetData>
    <row r="1" spans="1:29" x14ac:dyDescent="0.3">
      <c r="A1" s="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2" t="s">
        <v>24</v>
      </c>
      <c r="AA1" t="s">
        <v>25</v>
      </c>
      <c r="AB1" s="2" t="s">
        <v>26</v>
      </c>
      <c r="AC1" t="s">
        <v>27</v>
      </c>
    </row>
    <row r="2" spans="1:29" x14ac:dyDescent="0.3">
      <c r="A2" s="1">
        <v>1</v>
      </c>
      <c r="B2">
        <v>1</v>
      </c>
      <c r="C2">
        <v>808.5</v>
      </c>
      <c r="D2">
        <v>169.5</v>
      </c>
      <c r="E2">
        <v>176.9</v>
      </c>
      <c r="F2">
        <v>185</v>
      </c>
      <c r="G2">
        <v>30</v>
      </c>
      <c r="H2">
        <v>66</v>
      </c>
      <c r="I2">
        <v>716</v>
      </c>
      <c r="J2">
        <v>29.06</v>
      </c>
      <c r="K2">
        <v>10.210000000000001</v>
      </c>
      <c r="L2">
        <v>0.2843</v>
      </c>
      <c r="M2">
        <v>5.7000000000000002E-3</v>
      </c>
      <c r="N2">
        <v>0.76970000000000005</v>
      </c>
      <c r="O2">
        <v>0.85560000000000003</v>
      </c>
      <c r="P2">
        <v>343.18</v>
      </c>
      <c r="Q2">
        <v>8329.2000000000007</v>
      </c>
      <c r="R2">
        <v>4.03</v>
      </c>
      <c r="S2">
        <v>20.54</v>
      </c>
      <c r="T2">
        <v>0.20119999999999999</v>
      </c>
      <c r="U2">
        <v>1.4350000000000001</v>
      </c>
      <c r="V2">
        <v>11.9077</v>
      </c>
      <c r="W2">
        <v>0.8266</v>
      </c>
      <c r="X2">
        <v>0.1019</v>
      </c>
      <c r="Y2">
        <v>1.9419999999999999</v>
      </c>
      <c r="Z2" s="2">
        <v>96.3</v>
      </c>
      <c r="AA2">
        <v>1</v>
      </c>
      <c r="AB2" s="2">
        <v>97.9</v>
      </c>
      <c r="AC2">
        <v>1</v>
      </c>
    </row>
    <row r="3" spans="1:29" x14ac:dyDescent="0.3">
      <c r="A3" s="1">
        <f>A2+1</f>
        <v>2</v>
      </c>
      <c r="B3">
        <v>1</v>
      </c>
      <c r="C3">
        <v>630.70000000000005</v>
      </c>
      <c r="D3">
        <v>164.3</v>
      </c>
      <c r="E3">
        <v>98.5</v>
      </c>
      <c r="F3">
        <v>75</v>
      </c>
      <c r="G3">
        <v>31</v>
      </c>
      <c r="H3">
        <v>45</v>
      </c>
      <c r="I3">
        <v>712</v>
      </c>
      <c r="J3">
        <v>23.58</v>
      </c>
      <c r="K3">
        <v>11.64</v>
      </c>
      <c r="L3">
        <v>0.22620000000000001</v>
      </c>
      <c r="M3">
        <v>1.1999999999999999E-3</v>
      </c>
      <c r="N3">
        <v>0.40250000000000002</v>
      </c>
      <c r="O3">
        <v>0.88739999999999997</v>
      </c>
      <c r="P3">
        <v>319.27</v>
      </c>
      <c r="Q3">
        <v>5484.18</v>
      </c>
      <c r="R3">
        <v>4.13</v>
      </c>
      <c r="S3">
        <v>10.01</v>
      </c>
      <c r="T3">
        <v>0.28399999999999997</v>
      </c>
      <c r="U3">
        <v>0.89039999999999997</v>
      </c>
      <c r="V3">
        <v>4.9013</v>
      </c>
      <c r="W3">
        <v>0.72799999999999998</v>
      </c>
      <c r="X3">
        <v>0.10639999999999999</v>
      </c>
      <c r="Y3">
        <v>1.0572999999999999</v>
      </c>
      <c r="Z3" s="2">
        <v>91.6</v>
      </c>
      <c r="AA3">
        <v>1</v>
      </c>
      <c r="AB3" s="2">
        <v>91.8</v>
      </c>
      <c r="AC3">
        <v>1</v>
      </c>
    </row>
    <row r="4" spans="1:29" x14ac:dyDescent="0.3">
      <c r="A4" s="1">
        <f t="shared" ref="A4:A67" si="0">A3+1</f>
        <v>3</v>
      </c>
      <c r="B4">
        <v>2</v>
      </c>
      <c r="C4">
        <v>515.1</v>
      </c>
      <c r="D4">
        <v>159.30000000000001</v>
      </c>
      <c r="E4">
        <v>125.4</v>
      </c>
      <c r="F4">
        <v>90</v>
      </c>
      <c r="G4">
        <v>29</v>
      </c>
      <c r="H4">
        <v>46</v>
      </c>
      <c r="I4">
        <v>712</v>
      </c>
      <c r="J4">
        <v>34.119999999999997</v>
      </c>
      <c r="K4">
        <v>20.91</v>
      </c>
      <c r="L4">
        <v>0.1822</v>
      </c>
      <c r="M4">
        <v>4.0000000000000002E-4</v>
      </c>
      <c r="N4">
        <v>0.498</v>
      </c>
      <c r="O4">
        <v>0.85329999999999995</v>
      </c>
      <c r="P4">
        <v>273.14999999999998</v>
      </c>
      <c r="Q4">
        <v>5898.34</v>
      </c>
      <c r="R4">
        <v>4.38</v>
      </c>
      <c r="S4">
        <v>6.28</v>
      </c>
      <c r="T4">
        <v>0.34260000000000002</v>
      </c>
      <c r="U4">
        <v>0.97750000000000004</v>
      </c>
      <c r="V4">
        <v>4.8369</v>
      </c>
      <c r="W4">
        <v>0.68020000000000003</v>
      </c>
      <c r="X4">
        <v>8.6300000000000002E-2</v>
      </c>
      <c r="Y4">
        <v>1.2313000000000001</v>
      </c>
      <c r="Z4" s="2">
        <v>93.7</v>
      </c>
      <c r="AA4">
        <v>1</v>
      </c>
      <c r="AB4" s="2">
        <v>90.6</v>
      </c>
      <c r="AC4">
        <v>1</v>
      </c>
    </row>
    <row r="5" spans="1:29" x14ac:dyDescent="0.3">
      <c r="A5" s="1">
        <f t="shared" si="0"/>
        <v>4</v>
      </c>
      <c r="B5">
        <v>2</v>
      </c>
      <c r="C5">
        <v>735.2</v>
      </c>
      <c r="D5">
        <v>198.3</v>
      </c>
      <c r="E5">
        <v>208</v>
      </c>
      <c r="F5">
        <v>210</v>
      </c>
      <c r="G5">
        <v>30</v>
      </c>
      <c r="H5">
        <v>71</v>
      </c>
      <c r="I5">
        <v>712</v>
      </c>
      <c r="J5">
        <v>34.369999999999997</v>
      </c>
      <c r="K5">
        <v>13.58</v>
      </c>
      <c r="L5">
        <v>0.23449999999999999</v>
      </c>
      <c r="M5">
        <v>4.1000000000000003E-3</v>
      </c>
      <c r="N5">
        <v>0.99219999999999997</v>
      </c>
      <c r="O5">
        <v>0.76439999999999997</v>
      </c>
      <c r="P5">
        <v>330.13</v>
      </c>
      <c r="Q5">
        <v>10640.54</v>
      </c>
      <c r="R5">
        <v>3.45</v>
      </c>
      <c r="S5">
        <v>12.96</v>
      </c>
      <c r="T5">
        <v>0.23300000000000001</v>
      </c>
      <c r="U5">
        <v>1.3025</v>
      </c>
      <c r="V5">
        <v>11.4145</v>
      </c>
      <c r="W5">
        <v>0.78059999999999996</v>
      </c>
      <c r="X5">
        <v>8.4699999999999998E-2</v>
      </c>
      <c r="Y5">
        <v>3.1294</v>
      </c>
      <c r="Z5" s="2">
        <v>96.6</v>
      </c>
      <c r="AA5">
        <v>1</v>
      </c>
      <c r="AB5" s="2">
        <v>93.5</v>
      </c>
      <c r="AC5">
        <v>1</v>
      </c>
    </row>
    <row r="6" spans="1:29" x14ac:dyDescent="0.3">
      <c r="A6" s="1">
        <f t="shared" si="0"/>
        <v>5</v>
      </c>
      <c r="B6">
        <v>3</v>
      </c>
      <c r="C6">
        <v>728</v>
      </c>
      <c r="D6">
        <v>167.2</v>
      </c>
      <c r="E6">
        <v>260.8</v>
      </c>
      <c r="F6">
        <v>360</v>
      </c>
      <c r="G6">
        <v>3</v>
      </c>
      <c r="H6">
        <v>38</v>
      </c>
      <c r="I6">
        <v>712</v>
      </c>
      <c r="J6">
        <v>50.6</v>
      </c>
      <c r="K6">
        <v>23.21</v>
      </c>
      <c r="L6">
        <v>0.22620000000000001</v>
      </c>
      <c r="M6">
        <v>0</v>
      </c>
      <c r="N6">
        <v>0.84140000000000004</v>
      </c>
      <c r="O6">
        <v>0.61799999999999999</v>
      </c>
      <c r="P6">
        <v>333.33</v>
      </c>
      <c r="Q6">
        <v>8000.24</v>
      </c>
      <c r="R6">
        <v>4.04</v>
      </c>
      <c r="S6">
        <v>27.6</v>
      </c>
      <c r="T6">
        <v>0.2021</v>
      </c>
      <c r="U6">
        <v>1.5359</v>
      </c>
      <c r="V6">
        <v>8.9875000000000007</v>
      </c>
      <c r="W6">
        <v>0.82099999999999995</v>
      </c>
      <c r="X6">
        <v>4.8300000000000003E-2</v>
      </c>
      <c r="Y6">
        <v>2.1387999999999998</v>
      </c>
      <c r="Z6" s="2">
        <v>81.900000000000006</v>
      </c>
      <c r="AA6">
        <v>0</v>
      </c>
      <c r="AB6" s="2">
        <v>83.6</v>
      </c>
      <c r="AC6">
        <v>0</v>
      </c>
    </row>
    <row r="7" spans="1:29" x14ac:dyDescent="0.3">
      <c r="A7" s="1">
        <f t="shared" si="0"/>
        <v>6</v>
      </c>
      <c r="B7">
        <v>1</v>
      </c>
      <c r="C7">
        <v>869.2</v>
      </c>
      <c r="D7">
        <v>139.4</v>
      </c>
      <c r="E7">
        <v>198.8</v>
      </c>
      <c r="F7">
        <v>220</v>
      </c>
      <c r="G7">
        <v>29</v>
      </c>
      <c r="H7">
        <v>72</v>
      </c>
      <c r="I7">
        <v>472</v>
      </c>
      <c r="J7">
        <v>33.51</v>
      </c>
      <c r="K7">
        <v>14.88</v>
      </c>
      <c r="L7">
        <v>0.2591</v>
      </c>
      <c r="M7">
        <v>8.3000000000000001E-3</v>
      </c>
      <c r="N7">
        <v>0.59730000000000005</v>
      </c>
      <c r="O7">
        <v>0.58799999999999997</v>
      </c>
      <c r="P7">
        <v>412.09</v>
      </c>
      <c r="Q7">
        <v>6650.46</v>
      </c>
      <c r="R7">
        <v>3.12</v>
      </c>
      <c r="S7">
        <v>57.41</v>
      </c>
      <c r="T7">
        <v>0.20030000000000001</v>
      </c>
      <c r="U7">
        <v>1.4873000000000001</v>
      </c>
      <c r="V7">
        <v>14.7653</v>
      </c>
      <c r="W7">
        <v>0.78849999999999998</v>
      </c>
      <c r="X7">
        <v>0.10299999999999999</v>
      </c>
      <c r="Y7">
        <v>1.9173</v>
      </c>
      <c r="Z7" s="2">
        <v>94.4</v>
      </c>
      <c r="AA7">
        <v>1</v>
      </c>
      <c r="AB7" s="2">
        <v>93.6</v>
      </c>
      <c r="AC7">
        <v>1</v>
      </c>
    </row>
    <row r="8" spans="1:29" x14ac:dyDescent="0.3">
      <c r="A8" s="1">
        <f t="shared" si="0"/>
        <v>7</v>
      </c>
      <c r="B8">
        <v>2</v>
      </c>
      <c r="C8">
        <v>545.70000000000005</v>
      </c>
      <c r="D8">
        <v>165.5</v>
      </c>
      <c r="E8">
        <v>109.5</v>
      </c>
      <c r="F8">
        <v>115</v>
      </c>
      <c r="G8">
        <v>33</v>
      </c>
      <c r="H8">
        <v>55</v>
      </c>
      <c r="I8">
        <v>714</v>
      </c>
      <c r="J8">
        <v>26.84</v>
      </c>
      <c r="K8">
        <v>12.67</v>
      </c>
      <c r="L8">
        <v>0.23930000000000001</v>
      </c>
      <c r="M8">
        <v>2.8E-3</v>
      </c>
      <c r="N8">
        <v>0.43969999999999998</v>
      </c>
      <c r="O8">
        <v>0.97350000000000003</v>
      </c>
      <c r="P8">
        <v>323.89</v>
      </c>
      <c r="Q8">
        <v>6287.78</v>
      </c>
      <c r="R8">
        <v>4.05</v>
      </c>
      <c r="S8">
        <v>17.47</v>
      </c>
      <c r="T8">
        <v>0.25319999999999998</v>
      </c>
      <c r="U8">
        <v>0.97130000000000005</v>
      </c>
      <c r="V8">
        <v>5.4793000000000003</v>
      </c>
      <c r="W8">
        <v>0.80020000000000002</v>
      </c>
      <c r="X8">
        <v>9.2999999999999999E-2</v>
      </c>
      <c r="Y8">
        <v>1.0904</v>
      </c>
      <c r="Z8" s="2">
        <v>94</v>
      </c>
      <c r="AA8">
        <v>1</v>
      </c>
      <c r="AB8" s="2">
        <v>95.5</v>
      </c>
      <c r="AC8">
        <v>1</v>
      </c>
    </row>
    <row r="9" spans="1:29" x14ac:dyDescent="0.3">
      <c r="A9" s="1">
        <f t="shared" si="0"/>
        <v>8</v>
      </c>
      <c r="B9">
        <v>2</v>
      </c>
      <c r="C9">
        <v>782.2</v>
      </c>
      <c r="D9">
        <v>163.5</v>
      </c>
      <c r="E9">
        <v>181.5</v>
      </c>
      <c r="F9">
        <v>205</v>
      </c>
      <c r="G9">
        <v>27</v>
      </c>
      <c r="H9">
        <v>67</v>
      </c>
      <c r="I9">
        <v>714</v>
      </c>
      <c r="J9">
        <v>33.130000000000003</v>
      </c>
      <c r="K9">
        <v>11.36</v>
      </c>
      <c r="L9">
        <v>0.28589999999999999</v>
      </c>
      <c r="M9">
        <v>4.4999999999999997E-3</v>
      </c>
      <c r="N9">
        <v>0.78159999999999996</v>
      </c>
      <c r="O9">
        <v>0.75900000000000001</v>
      </c>
      <c r="P9">
        <v>345.44</v>
      </c>
      <c r="Q9">
        <v>10151.52</v>
      </c>
      <c r="R9">
        <v>4.26</v>
      </c>
      <c r="S9">
        <v>17.690000000000001</v>
      </c>
      <c r="T9">
        <v>0.19450000000000001</v>
      </c>
      <c r="U9">
        <v>1.5580000000000001</v>
      </c>
      <c r="V9">
        <v>12.7653</v>
      </c>
      <c r="W9">
        <v>0.83909999999999996</v>
      </c>
      <c r="X9">
        <v>0.104</v>
      </c>
      <c r="Y9">
        <v>1.867</v>
      </c>
      <c r="Z9" s="2">
        <v>94.7</v>
      </c>
      <c r="AA9">
        <v>1</v>
      </c>
      <c r="AB9" s="2">
        <v>89.6</v>
      </c>
      <c r="AC9">
        <v>0</v>
      </c>
    </row>
    <row r="10" spans="1:29" x14ac:dyDescent="0.3">
      <c r="A10" s="1">
        <f t="shared" si="0"/>
        <v>9</v>
      </c>
      <c r="B10">
        <v>3</v>
      </c>
      <c r="C10">
        <v>771.2</v>
      </c>
      <c r="D10">
        <v>167.8</v>
      </c>
      <c r="E10">
        <v>256.2</v>
      </c>
      <c r="F10">
        <v>310</v>
      </c>
      <c r="G10">
        <v>4</v>
      </c>
      <c r="H10">
        <v>34</v>
      </c>
      <c r="I10">
        <v>712</v>
      </c>
      <c r="J10">
        <v>35.68</v>
      </c>
      <c r="K10">
        <v>17.98</v>
      </c>
      <c r="L10">
        <v>0.22320000000000001</v>
      </c>
      <c r="M10">
        <v>0</v>
      </c>
      <c r="N10">
        <v>0.77959999999999996</v>
      </c>
      <c r="O10">
        <v>0.66820000000000002</v>
      </c>
      <c r="P10">
        <v>340.68</v>
      </c>
      <c r="Q10">
        <v>7294.2</v>
      </c>
      <c r="R10">
        <v>4.04</v>
      </c>
      <c r="S10">
        <v>26.75</v>
      </c>
      <c r="T10">
        <v>0.2218</v>
      </c>
      <c r="U10">
        <v>1.5714999999999999</v>
      </c>
      <c r="V10">
        <v>9.8042999999999996</v>
      </c>
      <c r="W10">
        <v>0.82969999999999999</v>
      </c>
      <c r="X10">
        <v>5.0999999999999997E-2</v>
      </c>
      <c r="Y10">
        <v>1.9666999999999999</v>
      </c>
      <c r="Z10" s="2">
        <v>91.7</v>
      </c>
      <c r="AA10">
        <v>1</v>
      </c>
      <c r="AB10" s="2">
        <v>93.9</v>
      </c>
      <c r="AC10">
        <v>1</v>
      </c>
    </row>
    <row r="11" spans="1:29" x14ac:dyDescent="0.3">
      <c r="A11" s="1">
        <f t="shared" si="0"/>
        <v>10</v>
      </c>
      <c r="B11">
        <v>3</v>
      </c>
      <c r="C11">
        <v>718</v>
      </c>
      <c r="D11">
        <v>170.3</v>
      </c>
      <c r="E11">
        <v>330.2</v>
      </c>
      <c r="F11">
        <v>330</v>
      </c>
      <c r="G11">
        <v>3</v>
      </c>
      <c r="H11">
        <v>35</v>
      </c>
      <c r="I11">
        <v>712</v>
      </c>
      <c r="J11">
        <v>39.75</v>
      </c>
      <c r="K11">
        <v>19.3</v>
      </c>
      <c r="L11">
        <v>0.25819999999999999</v>
      </c>
      <c r="M11">
        <v>0</v>
      </c>
      <c r="N11">
        <v>0.67369999999999997</v>
      </c>
      <c r="O11">
        <v>0.71819999999999995</v>
      </c>
      <c r="P11">
        <v>348.92</v>
      </c>
      <c r="Q11">
        <v>6269.07</v>
      </c>
      <c r="R11">
        <v>3.88</v>
      </c>
      <c r="S11">
        <v>22.42</v>
      </c>
      <c r="T11">
        <v>0.13930000000000001</v>
      </c>
      <c r="U11">
        <v>1.2699</v>
      </c>
      <c r="V11">
        <v>10.925599999999999</v>
      </c>
      <c r="W11">
        <v>0.86860000000000004</v>
      </c>
      <c r="X11">
        <v>5.6899999999999999E-2</v>
      </c>
      <c r="Y11">
        <v>1.7346999999999999</v>
      </c>
      <c r="Z11" s="2">
        <v>92</v>
      </c>
      <c r="AA11">
        <v>1</v>
      </c>
      <c r="AB11" s="2">
        <v>96.4</v>
      </c>
      <c r="AC11">
        <v>1</v>
      </c>
    </row>
    <row r="12" spans="1:29" x14ac:dyDescent="0.3">
      <c r="A12" s="1">
        <f t="shared" si="0"/>
        <v>11</v>
      </c>
      <c r="B12">
        <v>1</v>
      </c>
      <c r="C12">
        <v>644</v>
      </c>
      <c r="D12">
        <v>164.1</v>
      </c>
      <c r="E12">
        <v>132.80000000000001</v>
      </c>
      <c r="F12">
        <v>115</v>
      </c>
      <c r="G12">
        <v>27</v>
      </c>
      <c r="H12">
        <v>49</v>
      </c>
      <c r="I12">
        <v>712</v>
      </c>
      <c r="J12">
        <v>31.79</v>
      </c>
      <c r="K12">
        <v>19.09</v>
      </c>
      <c r="L12">
        <v>0.2107</v>
      </c>
      <c r="M12">
        <v>2.8E-3</v>
      </c>
      <c r="N12">
        <v>0.55259999999999998</v>
      </c>
      <c r="O12">
        <v>0.76429999999999998</v>
      </c>
      <c r="P12">
        <v>314.02</v>
      </c>
      <c r="Q12">
        <v>5684.62</v>
      </c>
      <c r="R12">
        <v>4.18</v>
      </c>
      <c r="S12">
        <v>9.6</v>
      </c>
      <c r="T12">
        <v>0.27989999999999998</v>
      </c>
      <c r="U12">
        <v>1.0765</v>
      </c>
      <c r="V12">
        <v>6.6159999999999997</v>
      </c>
      <c r="W12">
        <v>0.71660000000000001</v>
      </c>
      <c r="X12">
        <v>9.1300000000000006E-2</v>
      </c>
      <c r="Y12">
        <v>1.4320999999999999</v>
      </c>
      <c r="Z12" s="2">
        <v>94.6</v>
      </c>
      <c r="AA12">
        <v>1</v>
      </c>
      <c r="AB12" s="2">
        <v>97.2</v>
      </c>
      <c r="AC12">
        <v>1</v>
      </c>
    </row>
    <row r="13" spans="1:29" x14ac:dyDescent="0.3">
      <c r="A13" s="1">
        <f t="shared" si="0"/>
        <v>12</v>
      </c>
      <c r="B13">
        <v>1</v>
      </c>
      <c r="C13">
        <v>677.4</v>
      </c>
      <c r="D13">
        <v>212.5</v>
      </c>
      <c r="E13">
        <v>220.1</v>
      </c>
      <c r="F13">
        <v>250</v>
      </c>
      <c r="G13">
        <v>26</v>
      </c>
      <c r="H13">
        <v>75</v>
      </c>
      <c r="I13">
        <v>718</v>
      </c>
      <c r="J13">
        <v>41.25</v>
      </c>
      <c r="K13">
        <v>16.88</v>
      </c>
      <c r="L13">
        <v>0.22389999999999999</v>
      </c>
      <c r="M13">
        <v>4.0000000000000001E-3</v>
      </c>
      <c r="N13">
        <v>1.0065999999999999</v>
      </c>
      <c r="O13">
        <v>0.73680000000000001</v>
      </c>
      <c r="P13">
        <v>247.02</v>
      </c>
      <c r="Q13">
        <v>6683.05</v>
      </c>
      <c r="R13">
        <v>3.36</v>
      </c>
      <c r="S13">
        <v>5.78</v>
      </c>
      <c r="T13">
        <v>0.222</v>
      </c>
      <c r="U13">
        <v>1.1234</v>
      </c>
      <c r="V13">
        <v>11.823399999999999</v>
      </c>
      <c r="W13">
        <v>0.80769999999999997</v>
      </c>
      <c r="X13">
        <v>7.8100000000000003E-2</v>
      </c>
      <c r="Y13">
        <v>3.1617000000000002</v>
      </c>
      <c r="Z13" s="2">
        <v>97.8</v>
      </c>
      <c r="AA13">
        <v>1</v>
      </c>
      <c r="AB13" s="2">
        <v>95.5</v>
      </c>
      <c r="AC13">
        <v>1</v>
      </c>
    </row>
    <row r="14" spans="1:29" x14ac:dyDescent="0.3">
      <c r="A14" s="1">
        <f t="shared" si="0"/>
        <v>13</v>
      </c>
      <c r="B14">
        <v>1</v>
      </c>
      <c r="C14">
        <v>853.6</v>
      </c>
      <c r="D14">
        <v>169.3</v>
      </c>
      <c r="E14">
        <v>205.3</v>
      </c>
      <c r="F14">
        <v>210</v>
      </c>
      <c r="G14">
        <v>30</v>
      </c>
      <c r="H14">
        <v>71</v>
      </c>
      <c r="I14">
        <v>712</v>
      </c>
      <c r="J14">
        <v>29.85</v>
      </c>
      <c r="K14">
        <v>13.52</v>
      </c>
      <c r="L14">
        <v>0.27260000000000001</v>
      </c>
      <c r="M14">
        <v>5.4999999999999997E-3</v>
      </c>
      <c r="N14">
        <v>0.69840000000000002</v>
      </c>
      <c r="O14">
        <v>0.68189999999999995</v>
      </c>
      <c r="P14">
        <v>361.61</v>
      </c>
      <c r="Q14">
        <v>7449.38</v>
      </c>
      <c r="R14">
        <v>4.03</v>
      </c>
      <c r="S14">
        <v>12.89</v>
      </c>
      <c r="T14">
        <v>0.19600000000000001</v>
      </c>
      <c r="U14">
        <v>1.3938999999999999</v>
      </c>
      <c r="V14">
        <v>13.8088</v>
      </c>
      <c r="W14">
        <v>0.80510000000000004</v>
      </c>
      <c r="X14">
        <v>0.1026</v>
      </c>
      <c r="Y14">
        <v>1.794</v>
      </c>
      <c r="Z14" s="2">
        <v>94.6</v>
      </c>
      <c r="AA14">
        <v>1</v>
      </c>
      <c r="AB14" s="2">
        <v>97.2</v>
      </c>
      <c r="AC14">
        <v>1</v>
      </c>
    </row>
    <row r="15" spans="1:29" x14ac:dyDescent="0.3">
      <c r="A15" s="1">
        <f t="shared" si="0"/>
        <v>14</v>
      </c>
      <c r="B15">
        <v>3</v>
      </c>
      <c r="C15">
        <v>821.5</v>
      </c>
      <c r="D15">
        <v>213.2</v>
      </c>
      <c r="E15">
        <v>255.9</v>
      </c>
      <c r="F15">
        <v>285</v>
      </c>
      <c r="G15">
        <v>5</v>
      </c>
      <c r="H15">
        <v>33</v>
      </c>
      <c r="I15">
        <v>712</v>
      </c>
      <c r="J15">
        <v>36.630000000000003</v>
      </c>
      <c r="K15">
        <v>18.11</v>
      </c>
      <c r="L15">
        <v>0.2397</v>
      </c>
      <c r="M15">
        <v>0</v>
      </c>
      <c r="N15">
        <v>0.7399</v>
      </c>
      <c r="O15">
        <v>0.61109999999999998</v>
      </c>
      <c r="P15">
        <v>299.63</v>
      </c>
      <c r="Q15">
        <v>8274.33</v>
      </c>
      <c r="R15">
        <v>3.27</v>
      </c>
      <c r="S15">
        <v>7.89</v>
      </c>
      <c r="T15">
        <v>0.20119999999999999</v>
      </c>
      <c r="U15">
        <v>1.3724000000000001</v>
      </c>
      <c r="V15">
        <v>9.9168000000000003</v>
      </c>
      <c r="W15">
        <v>0.81810000000000005</v>
      </c>
      <c r="X15">
        <v>5.6500000000000002E-2</v>
      </c>
      <c r="Y15">
        <v>2.3090999999999999</v>
      </c>
      <c r="Z15" s="2">
        <v>77</v>
      </c>
      <c r="AA15">
        <v>0</v>
      </c>
      <c r="AB15" s="2">
        <v>83.9</v>
      </c>
      <c r="AC15">
        <v>0</v>
      </c>
    </row>
    <row r="16" spans="1:29" x14ac:dyDescent="0.3">
      <c r="A16" s="1">
        <f t="shared" si="0"/>
        <v>15</v>
      </c>
      <c r="B16">
        <v>2</v>
      </c>
      <c r="C16">
        <v>860.2</v>
      </c>
      <c r="D16">
        <v>174.7</v>
      </c>
      <c r="E16">
        <v>83.9</v>
      </c>
      <c r="F16">
        <v>85</v>
      </c>
      <c r="G16">
        <v>31</v>
      </c>
      <c r="H16">
        <v>47</v>
      </c>
      <c r="I16">
        <v>714</v>
      </c>
      <c r="J16">
        <v>28.63</v>
      </c>
      <c r="K16">
        <v>16.39</v>
      </c>
      <c r="L16">
        <v>0.22550000000000001</v>
      </c>
      <c r="M16">
        <v>2.0000000000000001E-4</v>
      </c>
      <c r="N16">
        <v>0.3871</v>
      </c>
      <c r="O16">
        <v>0.998</v>
      </c>
      <c r="P16">
        <v>367.88</v>
      </c>
      <c r="Q16">
        <v>8945.65</v>
      </c>
      <c r="R16">
        <v>3.83</v>
      </c>
      <c r="S16">
        <v>22.43</v>
      </c>
      <c r="T16">
        <v>0.3054</v>
      </c>
      <c r="U16">
        <v>0.96330000000000005</v>
      </c>
      <c r="V16">
        <v>5.1611000000000002</v>
      </c>
      <c r="W16">
        <v>0.65610000000000002</v>
      </c>
      <c r="X16">
        <v>9.7199999999999995E-2</v>
      </c>
      <c r="Y16">
        <v>1.0683</v>
      </c>
      <c r="Z16" s="2">
        <v>99.1</v>
      </c>
      <c r="AA16">
        <v>1</v>
      </c>
      <c r="AB16" s="2">
        <v>95.5</v>
      </c>
      <c r="AC16">
        <v>1</v>
      </c>
    </row>
    <row r="17" spans="1:29" x14ac:dyDescent="0.3">
      <c r="A17" s="1">
        <f t="shared" si="0"/>
        <v>16</v>
      </c>
      <c r="B17">
        <v>2</v>
      </c>
      <c r="C17">
        <v>656.7</v>
      </c>
      <c r="D17">
        <v>169.2</v>
      </c>
      <c r="E17">
        <v>82.6</v>
      </c>
      <c r="F17">
        <v>90</v>
      </c>
      <c r="G17">
        <v>29</v>
      </c>
      <c r="H17">
        <v>46</v>
      </c>
      <c r="I17">
        <v>712</v>
      </c>
      <c r="J17">
        <v>22.3</v>
      </c>
      <c r="K17">
        <v>10.95</v>
      </c>
      <c r="L17">
        <v>0.19969999999999999</v>
      </c>
      <c r="M17">
        <v>3.5000000000000001E-3</v>
      </c>
      <c r="N17">
        <v>0.29089999999999999</v>
      </c>
      <c r="O17">
        <v>1.2001999999999999</v>
      </c>
      <c r="P17">
        <v>342.46</v>
      </c>
      <c r="Q17">
        <v>5904.99</v>
      </c>
      <c r="R17">
        <v>3.98</v>
      </c>
      <c r="S17">
        <v>18.47</v>
      </c>
      <c r="T17">
        <v>0.30530000000000002</v>
      </c>
      <c r="U17">
        <v>0.65939999999999999</v>
      </c>
      <c r="V17">
        <v>5.1352000000000002</v>
      </c>
      <c r="W17">
        <v>0.7248</v>
      </c>
      <c r="X17">
        <v>9.3399999999999997E-2</v>
      </c>
      <c r="Y17">
        <v>0.89100000000000001</v>
      </c>
      <c r="Z17" s="2">
        <v>94.9</v>
      </c>
      <c r="AA17">
        <v>1</v>
      </c>
      <c r="AB17" s="2">
        <v>89.4</v>
      </c>
      <c r="AC17">
        <v>0</v>
      </c>
    </row>
    <row r="18" spans="1:29" x14ac:dyDescent="0.3">
      <c r="A18" s="1">
        <f t="shared" si="0"/>
        <v>17</v>
      </c>
      <c r="B18">
        <v>2</v>
      </c>
      <c r="C18">
        <v>650.5</v>
      </c>
      <c r="D18">
        <v>165.7</v>
      </c>
      <c r="E18">
        <v>95</v>
      </c>
      <c r="F18">
        <v>100</v>
      </c>
      <c r="G18">
        <v>29</v>
      </c>
      <c r="H18">
        <v>48</v>
      </c>
      <c r="I18">
        <v>712</v>
      </c>
      <c r="J18">
        <v>25.91</v>
      </c>
      <c r="K18">
        <v>15.04</v>
      </c>
      <c r="L18">
        <v>0.20019999999999999</v>
      </c>
      <c r="M18">
        <v>4.0000000000000002E-4</v>
      </c>
      <c r="N18">
        <v>0.4496</v>
      </c>
      <c r="O18">
        <v>0.81889999999999996</v>
      </c>
      <c r="P18">
        <v>340.91</v>
      </c>
      <c r="Q18">
        <v>7514.08</v>
      </c>
      <c r="R18">
        <v>4.0599999999999996</v>
      </c>
      <c r="S18">
        <v>11.27</v>
      </c>
      <c r="T18">
        <v>0.31490000000000001</v>
      </c>
      <c r="U18">
        <v>1.0330999999999999</v>
      </c>
      <c r="V18">
        <v>5.6753999999999998</v>
      </c>
      <c r="W18">
        <v>0.70279999999999998</v>
      </c>
      <c r="X18">
        <v>9.0800000000000006E-2</v>
      </c>
      <c r="Y18">
        <v>1.2934000000000001</v>
      </c>
      <c r="Z18" s="2">
        <v>95.5</v>
      </c>
      <c r="AA18">
        <v>1</v>
      </c>
      <c r="AB18" s="2">
        <v>83.7</v>
      </c>
      <c r="AC18">
        <v>0</v>
      </c>
    </row>
    <row r="19" spans="1:29" x14ac:dyDescent="0.3">
      <c r="A19" s="1">
        <f t="shared" si="0"/>
        <v>18</v>
      </c>
      <c r="B19">
        <v>2</v>
      </c>
      <c r="C19">
        <v>555.6</v>
      </c>
      <c r="D19">
        <v>181.8</v>
      </c>
      <c r="E19">
        <v>135</v>
      </c>
      <c r="F19">
        <v>105</v>
      </c>
      <c r="G19">
        <v>28</v>
      </c>
      <c r="H19">
        <v>48</v>
      </c>
      <c r="I19">
        <v>718</v>
      </c>
      <c r="J19">
        <v>28.08</v>
      </c>
      <c r="K19">
        <v>12.34</v>
      </c>
      <c r="L19">
        <v>0.2727</v>
      </c>
      <c r="M19">
        <v>4.1000000000000003E-3</v>
      </c>
      <c r="N19">
        <v>0.53639999999999999</v>
      </c>
      <c r="O19">
        <v>1.0004999999999999</v>
      </c>
      <c r="P19">
        <v>289.47000000000003</v>
      </c>
      <c r="Q19">
        <v>5735.74</v>
      </c>
      <c r="R19">
        <v>3.73</v>
      </c>
      <c r="S19">
        <v>38.6</v>
      </c>
      <c r="T19">
        <v>0.2442</v>
      </c>
      <c r="U19">
        <v>0.86909999999999998</v>
      </c>
      <c r="V19">
        <v>6.9603999999999999</v>
      </c>
      <c r="W19">
        <v>0.7611</v>
      </c>
      <c r="X19">
        <v>0.1111</v>
      </c>
      <c r="Y19">
        <v>1.4217</v>
      </c>
      <c r="Z19" s="2">
        <v>92.2</v>
      </c>
      <c r="AA19">
        <v>1</v>
      </c>
      <c r="AB19" s="2">
        <v>88.9</v>
      </c>
      <c r="AC19">
        <v>0</v>
      </c>
    </row>
    <row r="20" spans="1:29" x14ac:dyDescent="0.3">
      <c r="A20" s="1">
        <f t="shared" si="0"/>
        <v>19</v>
      </c>
      <c r="B20">
        <v>2</v>
      </c>
      <c r="C20">
        <v>701.1</v>
      </c>
      <c r="D20">
        <v>199.9</v>
      </c>
      <c r="E20">
        <v>180.6</v>
      </c>
      <c r="F20">
        <v>205</v>
      </c>
      <c r="G20">
        <v>29</v>
      </c>
      <c r="H20">
        <v>69</v>
      </c>
      <c r="I20">
        <v>718</v>
      </c>
      <c r="J20">
        <v>31.71</v>
      </c>
      <c r="K20">
        <v>13.16</v>
      </c>
      <c r="L20">
        <v>0.26129999999999998</v>
      </c>
      <c r="M20">
        <v>4.7000000000000002E-3</v>
      </c>
      <c r="N20">
        <v>0.98740000000000006</v>
      </c>
      <c r="O20">
        <v>0.79210000000000003</v>
      </c>
      <c r="P20">
        <v>323.91000000000003</v>
      </c>
      <c r="Q20">
        <v>8850.4699999999993</v>
      </c>
      <c r="R20">
        <v>3.41</v>
      </c>
      <c r="S20">
        <v>17.760000000000002</v>
      </c>
      <c r="T20">
        <v>0.22239999999999999</v>
      </c>
      <c r="U20">
        <v>1.204</v>
      </c>
      <c r="V20">
        <v>12.846399999999999</v>
      </c>
      <c r="W20">
        <v>0.78949999999999998</v>
      </c>
      <c r="X20">
        <v>9.6600000000000005E-2</v>
      </c>
      <c r="Y20">
        <v>2.9315000000000002</v>
      </c>
      <c r="Z20" s="2">
        <v>85</v>
      </c>
      <c r="AA20">
        <v>0</v>
      </c>
      <c r="AB20" s="2">
        <v>86.9</v>
      </c>
      <c r="AC20">
        <v>0</v>
      </c>
    </row>
    <row r="21" spans="1:29" x14ac:dyDescent="0.3">
      <c r="A21" s="1">
        <f t="shared" si="0"/>
        <v>20</v>
      </c>
      <c r="B21">
        <v>2</v>
      </c>
      <c r="C21">
        <v>821.7</v>
      </c>
      <c r="D21">
        <v>143.19999999999999</v>
      </c>
      <c r="E21">
        <v>217</v>
      </c>
      <c r="F21">
        <v>230</v>
      </c>
      <c r="G21">
        <v>29</v>
      </c>
      <c r="H21">
        <v>75</v>
      </c>
      <c r="I21">
        <v>532</v>
      </c>
      <c r="J21">
        <v>29.92</v>
      </c>
      <c r="K21">
        <v>13.52</v>
      </c>
      <c r="L21">
        <v>0.25530000000000003</v>
      </c>
      <c r="M21">
        <v>6.8999999999999999E-3</v>
      </c>
      <c r="N21">
        <v>0.66349999999999998</v>
      </c>
      <c r="O21">
        <v>0.67079999999999995</v>
      </c>
      <c r="P21">
        <v>395.11</v>
      </c>
      <c r="Q21">
        <v>10522.79</v>
      </c>
      <c r="R21">
        <v>3.46</v>
      </c>
      <c r="S21">
        <v>54.19</v>
      </c>
      <c r="T21">
        <v>0.192</v>
      </c>
      <c r="U21">
        <v>1.6832</v>
      </c>
      <c r="V21">
        <v>13.6205</v>
      </c>
      <c r="W21">
        <v>0.83320000000000005</v>
      </c>
      <c r="X21">
        <v>9.5500000000000002E-2</v>
      </c>
      <c r="Y21">
        <v>1.9644999999999999</v>
      </c>
      <c r="Z21" s="2">
        <v>92.9</v>
      </c>
      <c r="AA21">
        <v>1</v>
      </c>
      <c r="AB21" s="2">
        <v>92.8</v>
      </c>
      <c r="AC21">
        <v>1</v>
      </c>
    </row>
    <row r="22" spans="1:29" x14ac:dyDescent="0.3">
      <c r="A22" s="1">
        <f t="shared" si="0"/>
        <v>21</v>
      </c>
      <c r="B22">
        <v>1</v>
      </c>
      <c r="C22">
        <v>644.70000000000005</v>
      </c>
      <c r="D22">
        <v>165.3</v>
      </c>
      <c r="E22">
        <v>123.8</v>
      </c>
      <c r="F22">
        <v>95</v>
      </c>
      <c r="G22">
        <v>29</v>
      </c>
      <c r="H22">
        <v>47</v>
      </c>
      <c r="I22">
        <v>712</v>
      </c>
      <c r="J22">
        <v>27.37</v>
      </c>
      <c r="K22">
        <v>15.68</v>
      </c>
      <c r="L22">
        <v>0.23449999999999999</v>
      </c>
      <c r="M22">
        <v>4.1999999999999997E-3</v>
      </c>
      <c r="N22">
        <v>0.44550000000000001</v>
      </c>
      <c r="O22">
        <v>0.78569999999999995</v>
      </c>
      <c r="P22">
        <v>322.36</v>
      </c>
      <c r="Q22">
        <v>3963.11</v>
      </c>
      <c r="R22">
        <v>4.12</v>
      </c>
      <c r="S22">
        <v>12.77</v>
      </c>
      <c r="T22">
        <v>0.23849999999999999</v>
      </c>
      <c r="U22">
        <v>0.86150000000000004</v>
      </c>
      <c r="V22">
        <v>6.2702999999999998</v>
      </c>
      <c r="W22">
        <v>0.73280000000000001</v>
      </c>
      <c r="X22">
        <v>0.1066</v>
      </c>
      <c r="Y22">
        <v>1.1649</v>
      </c>
      <c r="Z22" s="2">
        <v>93</v>
      </c>
      <c r="AA22">
        <v>1</v>
      </c>
      <c r="AB22" s="2">
        <v>92.6</v>
      </c>
      <c r="AC22">
        <v>1</v>
      </c>
    </row>
    <row r="23" spans="1:29" x14ac:dyDescent="0.3">
      <c r="A23" s="1">
        <f t="shared" si="0"/>
        <v>22</v>
      </c>
      <c r="B23">
        <v>1</v>
      </c>
      <c r="C23">
        <v>691.1</v>
      </c>
      <c r="D23">
        <v>165.4</v>
      </c>
      <c r="E23">
        <v>125.1</v>
      </c>
      <c r="F23">
        <v>100</v>
      </c>
      <c r="G23">
        <v>29</v>
      </c>
      <c r="H23">
        <v>48</v>
      </c>
      <c r="I23">
        <v>712</v>
      </c>
      <c r="J23">
        <v>26.2</v>
      </c>
      <c r="K23">
        <v>13.56</v>
      </c>
      <c r="L23">
        <v>0.26069999999999999</v>
      </c>
      <c r="M23">
        <v>3.3999999999999998E-3</v>
      </c>
      <c r="N23">
        <v>0.4829</v>
      </c>
      <c r="O23">
        <v>0.82730000000000004</v>
      </c>
      <c r="P23">
        <v>324.64999999999998</v>
      </c>
      <c r="Q23">
        <v>6288.32</v>
      </c>
      <c r="R23">
        <v>4.2</v>
      </c>
      <c r="S23">
        <v>16.239999999999998</v>
      </c>
      <c r="T23">
        <v>0.21779999999999999</v>
      </c>
      <c r="U23">
        <v>1.0026999999999999</v>
      </c>
      <c r="V23">
        <v>7.0396000000000001</v>
      </c>
      <c r="W23">
        <v>0.75070000000000003</v>
      </c>
      <c r="X23">
        <v>0.1169</v>
      </c>
      <c r="Y23">
        <v>1.2708999999999999</v>
      </c>
      <c r="Z23" s="2">
        <v>95.8</v>
      </c>
      <c r="AA23">
        <v>1</v>
      </c>
      <c r="AB23" s="2">
        <v>91.1</v>
      </c>
      <c r="AC23">
        <v>1</v>
      </c>
    </row>
    <row r="24" spans="1:29" x14ac:dyDescent="0.3">
      <c r="A24" s="1">
        <f t="shared" si="0"/>
        <v>23</v>
      </c>
      <c r="B24">
        <v>1</v>
      </c>
      <c r="C24">
        <v>745.3</v>
      </c>
      <c r="D24">
        <v>210.9</v>
      </c>
      <c r="E24">
        <v>195.2</v>
      </c>
      <c r="F24">
        <v>215</v>
      </c>
      <c r="G24">
        <v>29</v>
      </c>
      <c r="H24">
        <v>71</v>
      </c>
      <c r="I24">
        <v>712</v>
      </c>
      <c r="J24">
        <v>34.64</v>
      </c>
      <c r="K24">
        <v>13.72</v>
      </c>
      <c r="L24">
        <v>0.23830000000000001</v>
      </c>
      <c r="M24">
        <v>5.5999999999999999E-3</v>
      </c>
      <c r="N24">
        <v>0.98609999999999998</v>
      </c>
      <c r="O24">
        <v>0.72629999999999995</v>
      </c>
      <c r="P24">
        <v>305.33999999999997</v>
      </c>
      <c r="Q24">
        <v>8385.4</v>
      </c>
      <c r="R24">
        <v>3.27</v>
      </c>
      <c r="S24">
        <v>11.37</v>
      </c>
      <c r="T24">
        <v>0.2258</v>
      </c>
      <c r="U24">
        <v>1.1443000000000001</v>
      </c>
      <c r="V24">
        <v>12.148099999999999</v>
      </c>
      <c r="W24">
        <v>0.76659999999999995</v>
      </c>
      <c r="X24">
        <v>8.7300000000000003E-2</v>
      </c>
      <c r="Y24">
        <v>3.0882999999999998</v>
      </c>
      <c r="Z24" s="2">
        <v>97.6</v>
      </c>
      <c r="AA24">
        <v>1</v>
      </c>
      <c r="AB24" s="2">
        <v>91.7</v>
      </c>
      <c r="AC24">
        <v>1</v>
      </c>
    </row>
    <row r="25" spans="1:29" x14ac:dyDescent="0.3">
      <c r="A25" s="1">
        <f t="shared" si="0"/>
        <v>24</v>
      </c>
      <c r="B25">
        <v>3</v>
      </c>
      <c r="C25">
        <v>731.8</v>
      </c>
      <c r="D25">
        <v>165.8</v>
      </c>
      <c r="E25">
        <v>204.9</v>
      </c>
      <c r="F25">
        <v>230</v>
      </c>
      <c r="G25">
        <v>13</v>
      </c>
      <c r="H25">
        <v>35</v>
      </c>
      <c r="I25">
        <v>712</v>
      </c>
      <c r="J25">
        <v>39.82</v>
      </c>
      <c r="K25">
        <v>18.96</v>
      </c>
      <c r="L25">
        <v>0.23799999999999999</v>
      </c>
      <c r="M25">
        <v>0</v>
      </c>
      <c r="N25">
        <v>0.74809999999999999</v>
      </c>
      <c r="O25">
        <v>0.71079999999999999</v>
      </c>
      <c r="P25">
        <v>339.55</v>
      </c>
      <c r="Q25">
        <v>8893.69</v>
      </c>
      <c r="R25">
        <v>4.1100000000000003</v>
      </c>
      <c r="S25">
        <v>20.010000000000002</v>
      </c>
      <c r="T25">
        <v>0.2147</v>
      </c>
      <c r="U25">
        <v>1.4905999999999999</v>
      </c>
      <c r="V25">
        <v>7.3007999999999997</v>
      </c>
      <c r="W25">
        <v>0.81579999999999997</v>
      </c>
      <c r="X25">
        <v>5.3900000000000003E-2</v>
      </c>
      <c r="Y25">
        <v>1.8714999999999999</v>
      </c>
      <c r="Z25" s="2">
        <v>88.1</v>
      </c>
      <c r="AA25">
        <v>0</v>
      </c>
      <c r="AB25" s="2">
        <v>90.4</v>
      </c>
      <c r="AC25">
        <v>1</v>
      </c>
    </row>
    <row r="26" spans="1:29" x14ac:dyDescent="0.3">
      <c r="A26" s="1">
        <f t="shared" si="0"/>
        <v>25</v>
      </c>
      <c r="B26">
        <v>3</v>
      </c>
      <c r="C26">
        <v>626.70000000000005</v>
      </c>
      <c r="D26">
        <v>159.69999999999999</v>
      </c>
      <c r="E26">
        <v>324.89999999999998</v>
      </c>
      <c r="F26">
        <v>370</v>
      </c>
      <c r="G26">
        <v>1</v>
      </c>
      <c r="H26">
        <v>37</v>
      </c>
      <c r="I26">
        <v>712</v>
      </c>
      <c r="J26">
        <v>43.44</v>
      </c>
      <c r="K26">
        <v>20.3</v>
      </c>
      <c r="L26">
        <v>0.24479999999999999</v>
      </c>
      <c r="M26">
        <v>0</v>
      </c>
      <c r="N26">
        <v>0.83420000000000005</v>
      </c>
      <c r="O26">
        <v>0.6734</v>
      </c>
      <c r="P26">
        <v>291.63</v>
      </c>
      <c r="Q26">
        <v>5711.11</v>
      </c>
      <c r="R26">
        <v>4.37</v>
      </c>
      <c r="S26">
        <v>6.48</v>
      </c>
      <c r="T26">
        <v>0.15049999999999999</v>
      </c>
      <c r="U26">
        <v>1.3988</v>
      </c>
      <c r="V26">
        <v>11.491199999999999</v>
      </c>
      <c r="W26">
        <v>0.85260000000000002</v>
      </c>
      <c r="X26">
        <v>5.0900000000000001E-2</v>
      </c>
      <c r="Y26">
        <v>1.9374</v>
      </c>
      <c r="Z26" s="2">
        <v>85.4</v>
      </c>
      <c r="AA26">
        <v>0</v>
      </c>
      <c r="AB26" s="2">
        <v>89.2</v>
      </c>
      <c r="AC26">
        <v>0</v>
      </c>
    </row>
    <row r="27" spans="1:29" x14ac:dyDescent="0.3">
      <c r="A27" s="1">
        <f t="shared" si="0"/>
        <v>26</v>
      </c>
      <c r="B27">
        <v>2</v>
      </c>
      <c r="C27">
        <v>646.29999999999995</v>
      </c>
      <c r="D27">
        <v>178</v>
      </c>
      <c r="E27">
        <v>112.4</v>
      </c>
      <c r="F27">
        <v>105</v>
      </c>
      <c r="G27">
        <v>27</v>
      </c>
      <c r="H27">
        <v>47</v>
      </c>
      <c r="I27">
        <v>718</v>
      </c>
      <c r="J27">
        <v>22.02</v>
      </c>
      <c r="K27">
        <v>9.6</v>
      </c>
      <c r="L27">
        <v>0.27929999999999999</v>
      </c>
      <c r="M27">
        <v>3.8999999999999998E-3</v>
      </c>
      <c r="N27">
        <v>0.47989999999999999</v>
      </c>
      <c r="O27">
        <v>1.1017999999999999</v>
      </c>
      <c r="P27">
        <v>324.51</v>
      </c>
      <c r="Q27">
        <v>7971.23</v>
      </c>
      <c r="R27">
        <v>3.88</v>
      </c>
      <c r="S27">
        <v>30.16</v>
      </c>
      <c r="T27">
        <v>0.23419999999999999</v>
      </c>
      <c r="U27">
        <v>0.80549999999999999</v>
      </c>
      <c r="V27">
        <v>7.5095999999999998</v>
      </c>
      <c r="W27">
        <v>0.78069999999999995</v>
      </c>
      <c r="X27">
        <v>0.1152</v>
      </c>
      <c r="Y27">
        <v>1.4177999999999999</v>
      </c>
      <c r="Z27" s="2">
        <v>77.2</v>
      </c>
      <c r="AA27">
        <v>0</v>
      </c>
      <c r="AB27" s="2">
        <v>79.5</v>
      </c>
      <c r="AC27">
        <v>0</v>
      </c>
    </row>
    <row r="28" spans="1:29" x14ac:dyDescent="0.3">
      <c r="A28" s="1">
        <f t="shared" si="0"/>
        <v>27</v>
      </c>
      <c r="B28">
        <v>2</v>
      </c>
      <c r="C28">
        <v>825.6</v>
      </c>
      <c r="D28">
        <v>221.3</v>
      </c>
      <c r="E28">
        <v>205.7</v>
      </c>
      <c r="F28">
        <v>190</v>
      </c>
      <c r="G28">
        <v>27</v>
      </c>
      <c r="H28">
        <v>64</v>
      </c>
      <c r="I28">
        <v>718</v>
      </c>
      <c r="J28">
        <v>26.52</v>
      </c>
      <c r="K28">
        <v>9.86</v>
      </c>
      <c r="L28">
        <v>0.28699999999999998</v>
      </c>
      <c r="M28">
        <v>4.7000000000000002E-3</v>
      </c>
      <c r="N28">
        <v>0.83830000000000005</v>
      </c>
      <c r="O28">
        <v>0.75060000000000004</v>
      </c>
      <c r="P28">
        <v>331.73</v>
      </c>
      <c r="Q28">
        <v>9411.0499999999993</v>
      </c>
      <c r="R28">
        <v>3.08</v>
      </c>
      <c r="S28">
        <v>25.16</v>
      </c>
      <c r="T28">
        <v>0.18840000000000001</v>
      </c>
      <c r="U28">
        <v>1.2585999999999999</v>
      </c>
      <c r="V28">
        <v>13.684100000000001</v>
      </c>
      <c r="W28">
        <v>0.8236</v>
      </c>
      <c r="X28">
        <v>0.1123</v>
      </c>
      <c r="Y28">
        <v>2.9803000000000002</v>
      </c>
      <c r="Z28" s="2">
        <v>93.8</v>
      </c>
      <c r="AA28">
        <v>1</v>
      </c>
      <c r="AB28" s="2">
        <v>91.4</v>
      </c>
      <c r="AC28">
        <v>1</v>
      </c>
    </row>
    <row r="29" spans="1:29" x14ac:dyDescent="0.3">
      <c r="A29" s="1">
        <f t="shared" si="0"/>
        <v>28</v>
      </c>
      <c r="B29">
        <v>3</v>
      </c>
      <c r="C29">
        <v>672.6</v>
      </c>
      <c r="D29">
        <v>165.2</v>
      </c>
      <c r="E29">
        <v>226.9</v>
      </c>
      <c r="F29">
        <v>240</v>
      </c>
      <c r="G29">
        <v>15</v>
      </c>
      <c r="H29">
        <v>39</v>
      </c>
      <c r="I29">
        <v>712</v>
      </c>
      <c r="J29">
        <v>39.270000000000003</v>
      </c>
      <c r="K29">
        <v>19.989999999999998</v>
      </c>
      <c r="L29">
        <v>0.25259999999999999</v>
      </c>
      <c r="M29">
        <v>0</v>
      </c>
      <c r="N29">
        <v>0.72250000000000003</v>
      </c>
      <c r="O29">
        <v>0.73799999999999999</v>
      </c>
      <c r="P29">
        <v>313.93</v>
      </c>
      <c r="Q29">
        <v>8987.59</v>
      </c>
      <c r="R29">
        <v>4.0999999999999996</v>
      </c>
      <c r="S29">
        <v>17.75</v>
      </c>
      <c r="T29">
        <v>0.18329999999999999</v>
      </c>
      <c r="U29">
        <v>1.3461000000000001</v>
      </c>
      <c r="V29">
        <v>8.2669999999999995</v>
      </c>
      <c r="W29">
        <v>0.87319999999999998</v>
      </c>
      <c r="X29">
        <v>5.79E-2</v>
      </c>
      <c r="Y29">
        <v>1.8218000000000001</v>
      </c>
      <c r="Z29" s="2">
        <v>82.4</v>
      </c>
      <c r="AA29">
        <v>0</v>
      </c>
      <c r="AB29" s="2">
        <v>85</v>
      </c>
      <c r="AC29">
        <v>0</v>
      </c>
    </row>
    <row r="30" spans="1:29" x14ac:dyDescent="0.3">
      <c r="A30" s="1">
        <f t="shared" si="0"/>
        <v>29</v>
      </c>
      <c r="B30">
        <v>1</v>
      </c>
      <c r="C30">
        <v>405.8</v>
      </c>
      <c r="D30">
        <v>101.3</v>
      </c>
      <c r="E30">
        <v>136.9</v>
      </c>
      <c r="F30">
        <v>90</v>
      </c>
      <c r="G30">
        <v>34</v>
      </c>
      <c r="H30">
        <v>51</v>
      </c>
      <c r="I30">
        <v>359</v>
      </c>
      <c r="J30">
        <v>41.48</v>
      </c>
      <c r="K30">
        <v>21.62</v>
      </c>
      <c r="L30">
        <v>0.1847</v>
      </c>
      <c r="M30">
        <v>1E-4</v>
      </c>
      <c r="N30">
        <v>0.49430000000000002</v>
      </c>
      <c r="O30">
        <v>0.91759999999999997</v>
      </c>
      <c r="P30">
        <v>319.42</v>
      </c>
      <c r="Q30">
        <v>9012.84</v>
      </c>
      <c r="R30">
        <v>3.44</v>
      </c>
      <c r="S30">
        <v>49.94</v>
      </c>
      <c r="T30">
        <v>0.32679999999999998</v>
      </c>
      <c r="U30">
        <v>0.87990000000000002</v>
      </c>
      <c r="V30">
        <v>4.3258999999999999</v>
      </c>
      <c r="W30">
        <v>0.56630000000000003</v>
      </c>
      <c r="X30">
        <v>7.6100000000000001E-2</v>
      </c>
      <c r="Y30">
        <v>1.4315</v>
      </c>
      <c r="Z30" s="2">
        <v>92.5</v>
      </c>
      <c r="AA30">
        <v>1</v>
      </c>
      <c r="AB30" s="2">
        <v>93.3</v>
      </c>
      <c r="AC30">
        <v>1</v>
      </c>
    </row>
    <row r="31" spans="1:29" x14ac:dyDescent="0.3">
      <c r="A31" s="1">
        <f t="shared" si="0"/>
        <v>30</v>
      </c>
      <c r="B31">
        <v>1</v>
      </c>
      <c r="C31">
        <v>705.4</v>
      </c>
      <c r="D31">
        <v>212.6</v>
      </c>
      <c r="E31">
        <v>210.7</v>
      </c>
      <c r="F31">
        <v>235</v>
      </c>
      <c r="G31">
        <v>34</v>
      </c>
      <c r="H31">
        <v>80</v>
      </c>
      <c r="I31">
        <v>718</v>
      </c>
      <c r="J31">
        <v>31.97</v>
      </c>
      <c r="K31">
        <v>12.62</v>
      </c>
      <c r="L31">
        <v>0.24890000000000001</v>
      </c>
      <c r="M31">
        <v>3.8E-3</v>
      </c>
      <c r="N31">
        <v>1.0351999999999999</v>
      </c>
      <c r="O31">
        <v>0.71640000000000004</v>
      </c>
      <c r="P31">
        <v>284.41000000000003</v>
      </c>
      <c r="Q31">
        <v>5863.43</v>
      </c>
      <c r="R31">
        <v>3.29</v>
      </c>
      <c r="S31">
        <v>10.45</v>
      </c>
      <c r="T31">
        <v>0.21279999999999999</v>
      </c>
      <c r="U31">
        <v>1.1475</v>
      </c>
      <c r="V31">
        <v>13.8751</v>
      </c>
      <c r="W31">
        <v>0.82130000000000003</v>
      </c>
      <c r="X31">
        <v>9.1399999999999995E-2</v>
      </c>
      <c r="Y31">
        <v>3.1888999999999998</v>
      </c>
      <c r="Z31" s="2">
        <v>95.9</v>
      </c>
      <c r="AA31">
        <v>1</v>
      </c>
      <c r="AB31" s="2">
        <v>97.5</v>
      </c>
      <c r="AC31">
        <v>1</v>
      </c>
    </row>
    <row r="32" spans="1:29" x14ac:dyDescent="0.3">
      <c r="A32" s="1">
        <f t="shared" si="0"/>
        <v>31</v>
      </c>
      <c r="B32">
        <v>1</v>
      </c>
      <c r="C32">
        <v>706.6</v>
      </c>
      <c r="D32">
        <v>171.9</v>
      </c>
      <c r="E32">
        <v>117.5</v>
      </c>
      <c r="F32">
        <v>90</v>
      </c>
      <c r="G32">
        <v>33</v>
      </c>
      <c r="H32">
        <v>50</v>
      </c>
      <c r="I32">
        <v>714</v>
      </c>
      <c r="J32">
        <v>24.92</v>
      </c>
      <c r="K32">
        <v>13.1</v>
      </c>
      <c r="L32">
        <v>0.26640000000000003</v>
      </c>
      <c r="M32">
        <v>2.2000000000000001E-3</v>
      </c>
      <c r="N32">
        <v>0.44619999999999999</v>
      </c>
      <c r="O32">
        <v>0.84330000000000005</v>
      </c>
      <c r="P32">
        <v>316.79000000000002</v>
      </c>
      <c r="Q32">
        <v>5596.72</v>
      </c>
      <c r="R32">
        <v>3.88</v>
      </c>
      <c r="S32">
        <v>30.18</v>
      </c>
      <c r="T32">
        <v>0.2576</v>
      </c>
      <c r="U32">
        <v>0.96499999999999997</v>
      </c>
      <c r="V32">
        <v>6.5232000000000001</v>
      </c>
      <c r="W32">
        <v>0.75480000000000003</v>
      </c>
      <c r="X32">
        <v>0.1188</v>
      </c>
      <c r="Y32">
        <v>1.2171000000000001</v>
      </c>
      <c r="Z32" s="2">
        <v>94.8</v>
      </c>
      <c r="AA32">
        <v>1</v>
      </c>
      <c r="AB32" s="2">
        <v>93.3</v>
      </c>
      <c r="AC32">
        <v>1</v>
      </c>
    </row>
    <row r="33" spans="1:29" x14ac:dyDescent="0.3">
      <c r="A33" s="1">
        <f t="shared" si="0"/>
        <v>32</v>
      </c>
      <c r="B33">
        <v>1</v>
      </c>
      <c r="C33">
        <v>925.8</v>
      </c>
      <c r="D33">
        <v>176.5</v>
      </c>
      <c r="E33">
        <v>205.3</v>
      </c>
      <c r="F33">
        <v>245</v>
      </c>
      <c r="G33">
        <v>32</v>
      </c>
      <c r="H33">
        <v>80</v>
      </c>
      <c r="I33">
        <v>714</v>
      </c>
      <c r="J33">
        <v>26.35</v>
      </c>
      <c r="K33">
        <v>9.7899999999999991</v>
      </c>
      <c r="L33">
        <v>0.29759999999999998</v>
      </c>
      <c r="M33">
        <v>9.9000000000000008E-3</v>
      </c>
      <c r="N33">
        <v>0.66139999999999999</v>
      </c>
      <c r="O33">
        <v>0.70569999999999999</v>
      </c>
      <c r="P33">
        <v>374.9</v>
      </c>
      <c r="Q33">
        <v>8068.49</v>
      </c>
      <c r="R33">
        <v>3.81</v>
      </c>
      <c r="S33">
        <v>28.66</v>
      </c>
      <c r="T33">
        <v>0.16600000000000001</v>
      </c>
      <c r="U33">
        <v>1.4508000000000001</v>
      </c>
      <c r="V33">
        <v>17.472100000000001</v>
      </c>
      <c r="W33">
        <v>0.84199999999999997</v>
      </c>
      <c r="X33">
        <v>0.1108</v>
      </c>
      <c r="Y33">
        <v>1.7794000000000001</v>
      </c>
      <c r="Z33" s="2">
        <v>96.6</v>
      </c>
      <c r="AA33">
        <v>1</v>
      </c>
      <c r="AB33" s="2">
        <v>92.9</v>
      </c>
      <c r="AC33">
        <v>1</v>
      </c>
    </row>
    <row r="34" spans="1:29" x14ac:dyDescent="0.3">
      <c r="A34" s="1">
        <f t="shared" si="0"/>
        <v>33</v>
      </c>
      <c r="B34">
        <v>3</v>
      </c>
      <c r="C34">
        <v>736.6</v>
      </c>
      <c r="D34">
        <v>166.9</v>
      </c>
      <c r="E34">
        <v>204.6</v>
      </c>
      <c r="F34">
        <v>220</v>
      </c>
      <c r="G34">
        <v>12</v>
      </c>
      <c r="H34">
        <v>34</v>
      </c>
      <c r="I34">
        <v>712</v>
      </c>
      <c r="J34">
        <v>40.72</v>
      </c>
      <c r="K34">
        <v>19.62</v>
      </c>
      <c r="L34">
        <v>0.23230000000000001</v>
      </c>
      <c r="M34">
        <v>0</v>
      </c>
      <c r="N34">
        <v>0.77349999999999997</v>
      </c>
      <c r="O34">
        <v>0.7208</v>
      </c>
      <c r="P34">
        <v>331.49</v>
      </c>
      <c r="Q34">
        <v>9781.4</v>
      </c>
      <c r="R34">
        <v>4.0599999999999996</v>
      </c>
      <c r="S34">
        <v>26.38</v>
      </c>
      <c r="T34">
        <v>0.21840000000000001</v>
      </c>
      <c r="U34">
        <v>1.5436000000000001</v>
      </c>
      <c r="V34">
        <v>6.7272999999999996</v>
      </c>
      <c r="W34">
        <v>0.79500000000000004</v>
      </c>
      <c r="X34">
        <v>5.3499999999999999E-2</v>
      </c>
      <c r="Y34">
        <v>1.9474</v>
      </c>
      <c r="Z34" s="2">
        <v>94</v>
      </c>
      <c r="AA34">
        <v>1</v>
      </c>
      <c r="AB34" s="2">
        <v>97.8</v>
      </c>
      <c r="AC34">
        <v>1</v>
      </c>
    </row>
    <row r="35" spans="1:29" x14ac:dyDescent="0.3">
      <c r="A35" s="1">
        <f t="shared" si="0"/>
        <v>34</v>
      </c>
      <c r="B35">
        <v>2</v>
      </c>
      <c r="C35">
        <v>828.7</v>
      </c>
      <c r="D35">
        <v>290.39999999999998</v>
      </c>
      <c r="E35">
        <v>213.4</v>
      </c>
      <c r="F35">
        <v>220</v>
      </c>
      <c r="G35">
        <v>31</v>
      </c>
      <c r="H35">
        <v>74</v>
      </c>
      <c r="I35">
        <v>716</v>
      </c>
      <c r="J35">
        <v>28.15</v>
      </c>
      <c r="K35">
        <v>9.57</v>
      </c>
      <c r="L35">
        <v>0.29010000000000002</v>
      </c>
      <c r="M35">
        <v>4.0000000000000001E-3</v>
      </c>
      <c r="N35">
        <v>0.76339999999999997</v>
      </c>
      <c r="O35">
        <v>0.84930000000000005</v>
      </c>
      <c r="P35">
        <v>255.11</v>
      </c>
      <c r="Q35">
        <v>9146.34</v>
      </c>
      <c r="R35">
        <v>2.56</v>
      </c>
      <c r="S35">
        <v>49.36</v>
      </c>
      <c r="T35">
        <v>0.17979999999999999</v>
      </c>
      <c r="U35">
        <v>1.0795999999999999</v>
      </c>
      <c r="V35">
        <v>14.367100000000001</v>
      </c>
      <c r="W35">
        <v>0.87090000000000001</v>
      </c>
      <c r="X35">
        <v>0.1072</v>
      </c>
      <c r="Y35">
        <v>3.1817000000000002</v>
      </c>
      <c r="Z35" s="2">
        <v>96.2</v>
      </c>
      <c r="AA35">
        <v>1</v>
      </c>
      <c r="AB35" s="2">
        <v>92</v>
      </c>
      <c r="AC35">
        <v>1</v>
      </c>
    </row>
    <row r="36" spans="1:29" x14ac:dyDescent="0.3">
      <c r="A36" s="1">
        <f t="shared" si="0"/>
        <v>35</v>
      </c>
      <c r="B36">
        <v>1</v>
      </c>
      <c r="C36">
        <v>588.5</v>
      </c>
      <c r="D36">
        <v>169.3</v>
      </c>
      <c r="E36">
        <v>80.7</v>
      </c>
      <c r="F36">
        <v>80</v>
      </c>
      <c r="G36">
        <v>32</v>
      </c>
      <c r="H36">
        <v>47</v>
      </c>
      <c r="I36">
        <v>712</v>
      </c>
      <c r="J36">
        <v>22.16</v>
      </c>
      <c r="K36">
        <v>12.62</v>
      </c>
      <c r="L36">
        <v>0.2031</v>
      </c>
      <c r="M36">
        <v>4.0000000000000002E-4</v>
      </c>
      <c r="N36">
        <v>0.4637</v>
      </c>
      <c r="O36">
        <v>1.1591</v>
      </c>
      <c r="P36">
        <v>291.20999999999998</v>
      </c>
      <c r="Q36">
        <v>5846.35</v>
      </c>
      <c r="R36">
        <v>4.0599999999999996</v>
      </c>
      <c r="S36">
        <v>28.73</v>
      </c>
      <c r="T36">
        <v>0.29970000000000002</v>
      </c>
      <c r="U36">
        <v>0.7056</v>
      </c>
      <c r="V36">
        <v>4.6664000000000003</v>
      </c>
      <c r="W36">
        <v>0.68379999999999996</v>
      </c>
      <c r="X36">
        <v>9.7600000000000006E-2</v>
      </c>
      <c r="Y36">
        <v>1.2717000000000001</v>
      </c>
      <c r="Z36" s="2">
        <v>97.9</v>
      </c>
      <c r="AA36">
        <v>1</v>
      </c>
      <c r="AB36" s="2">
        <v>97.7</v>
      </c>
      <c r="AC36">
        <v>1</v>
      </c>
    </row>
    <row r="37" spans="1:29" x14ac:dyDescent="0.3">
      <c r="A37" s="1">
        <f t="shared" si="0"/>
        <v>36</v>
      </c>
      <c r="B37">
        <v>1</v>
      </c>
      <c r="C37">
        <v>550.6</v>
      </c>
      <c r="D37">
        <v>157.6</v>
      </c>
      <c r="E37">
        <v>88.9</v>
      </c>
      <c r="F37">
        <v>95</v>
      </c>
      <c r="G37">
        <v>31</v>
      </c>
      <c r="H37">
        <v>49</v>
      </c>
      <c r="I37">
        <v>712</v>
      </c>
      <c r="J37">
        <v>27.23</v>
      </c>
      <c r="K37">
        <v>15.3</v>
      </c>
      <c r="L37">
        <v>0.1903</v>
      </c>
      <c r="M37">
        <v>1.5E-3</v>
      </c>
      <c r="N37">
        <v>0.40450000000000003</v>
      </c>
      <c r="O37">
        <v>0.88680000000000003</v>
      </c>
      <c r="P37">
        <v>282.68</v>
      </c>
      <c r="Q37">
        <v>4389.59</v>
      </c>
      <c r="R37">
        <v>4.4800000000000004</v>
      </c>
      <c r="S37">
        <v>1.91</v>
      </c>
      <c r="T37">
        <v>0.32629999999999998</v>
      </c>
      <c r="U37">
        <v>0.77610000000000001</v>
      </c>
      <c r="V37">
        <v>5.0015999999999998</v>
      </c>
      <c r="W37">
        <v>0.64600000000000002</v>
      </c>
      <c r="X37">
        <v>8.3500000000000005E-2</v>
      </c>
      <c r="Y37">
        <v>1.0351999999999999</v>
      </c>
      <c r="Z37" s="2">
        <v>95.4</v>
      </c>
      <c r="AA37">
        <v>1</v>
      </c>
      <c r="AB37" s="2">
        <v>96.5</v>
      </c>
      <c r="AC37">
        <v>1</v>
      </c>
    </row>
    <row r="38" spans="1:29" x14ac:dyDescent="0.3">
      <c r="A38" s="1">
        <f t="shared" si="0"/>
        <v>37</v>
      </c>
      <c r="B38">
        <v>1</v>
      </c>
      <c r="C38">
        <v>808.9</v>
      </c>
      <c r="D38">
        <v>171.7</v>
      </c>
      <c r="E38">
        <v>183.7</v>
      </c>
      <c r="F38">
        <v>145</v>
      </c>
      <c r="G38">
        <v>31</v>
      </c>
      <c r="H38">
        <v>59</v>
      </c>
      <c r="I38">
        <v>712</v>
      </c>
      <c r="J38">
        <v>21.22</v>
      </c>
      <c r="K38">
        <v>8.74</v>
      </c>
      <c r="L38">
        <v>0.26390000000000002</v>
      </c>
      <c r="M38">
        <v>5.1000000000000004E-3</v>
      </c>
      <c r="N38">
        <v>0.52200000000000002</v>
      </c>
      <c r="O38">
        <v>0.77510000000000001</v>
      </c>
      <c r="P38">
        <v>367.78</v>
      </c>
      <c r="Q38">
        <v>7215.12</v>
      </c>
      <c r="R38">
        <v>3.92</v>
      </c>
      <c r="S38">
        <v>22.78</v>
      </c>
      <c r="T38">
        <v>0.20169999999999999</v>
      </c>
      <c r="U38">
        <v>1.157</v>
      </c>
      <c r="V38">
        <v>9.0959000000000003</v>
      </c>
      <c r="W38">
        <v>0.85609999999999997</v>
      </c>
      <c r="X38">
        <v>0.1056</v>
      </c>
      <c r="Y38">
        <v>1.4321999999999999</v>
      </c>
      <c r="Z38" s="2">
        <v>93.3</v>
      </c>
      <c r="AA38">
        <v>1</v>
      </c>
      <c r="AB38" s="2">
        <v>94.5</v>
      </c>
      <c r="AC38">
        <v>1</v>
      </c>
    </row>
    <row r="39" spans="1:29" x14ac:dyDescent="0.3">
      <c r="A39" s="1">
        <f t="shared" si="0"/>
        <v>38</v>
      </c>
      <c r="B39">
        <v>3</v>
      </c>
      <c r="C39">
        <v>453.1</v>
      </c>
      <c r="D39">
        <v>121.3</v>
      </c>
      <c r="E39">
        <v>209.3</v>
      </c>
      <c r="F39">
        <v>140</v>
      </c>
      <c r="G39">
        <v>15</v>
      </c>
      <c r="H39">
        <v>28</v>
      </c>
      <c r="I39">
        <v>534</v>
      </c>
      <c r="J39">
        <v>35.950000000000003</v>
      </c>
      <c r="K39">
        <v>21.36</v>
      </c>
      <c r="L39">
        <v>0.24729999999999999</v>
      </c>
      <c r="M39">
        <v>0</v>
      </c>
      <c r="N39">
        <v>0.46489999999999998</v>
      </c>
      <c r="O39">
        <v>0.91559999999999997</v>
      </c>
      <c r="P39">
        <v>284.05</v>
      </c>
      <c r="Q39">
        <v>4484.47</v>
      </c>
      <c r="R39">
        <v>4.25</v>
      </c>
      <c r="S39">
        <v>14.69</v>
      </c>
      <c r="T39">
        <v>0.21110000000000001</v>
      </c>
      <c r="U39">
        <v>0.90249999999999997</v>
      </c>
      <c r="V39">
        <v>4.4314</v>
      </c>
      <c r="W39">
        <v>0.83919999999999995</v>
      </c>
      <c r="X39">
        <v>6.7100000000000007E-2</v>
      </c>
      <c r="Y39">
        <v>1.1206</v>
      </c>
      <c r="Z39" s="2">
        <v>95.7</v>
      </c>
      <c r="AA39">
        <v>1</v>
      </c>
      <c r="AB39" s="2">
        <v>97.5</v>
      </c>
      <c r="AC39">
        <v>1</v>
      </c>
    </row>
    <row r="40" spans="1:29" x14ac:dyDescent="0.3">
      <c r="A40" s="1">
        <f t="shared" si="0"/>
        <v>39</v>
      </c>
      <c r="B40">
        <v>3</v>
      </c>
      <c r="C40">
        <v>574.9</v>
      </c>
      <c r="D40">
        <v>160.6</v>
      </c>
      <c r="E40">
        <v>247.9</v>
      </c>
      <c r="F40">
        <v>270</v>
      </c>
      <c r="G40">
        <v>7</v>
      </c>
      <c r="H40">
        <v>33</v>
      </c>
      <c r="I40">
        <v>712</v>
      </c>
      <c r="J40">
        <v>40.03</v>
      </c>
      <c r="K40">
        <v>21.04</v>
      </c>
      <c r="L40">
        <v>0.21779999999999999</v>
      </c>
      <c r="M40">
        <v>0</v>
      </c>
      <c r="N40">
        <v>0.74919999999999998</v>
      </c>
      <c r="O40">
        <v>0.75009999999999999</v>
      </c>
      <c r="P40">
        <v>293.02</v>
      </c>
      <c r="Q40">
        <v>8334.83</v>
      </c>
      <c r="R40">
        <v>4.3</v>
      </c>
      <c r="S40">
        <v>12.86</v>
      </c>
      <c r="T40">
        <v>0.22489999999999999</v>
      </c>
      <c r="U40">
        <v>1.3947000000000001</v>
      </c>
      <c r="V40">
        <v>7.6711</v>
      </c>
      <c r="W40">
        <v>0.82399999999999995</v>
      </c>
      <c r="X40">
        <v>5.2299999999999999E-2</v>
      </c>
      <c r="Y40">
        <v>1.8196000000000001</v>
      </c>
      <c r="Z40" s="2">
        <v>98.4</v>
      </c>
      <c r="AA40">
        <v>1</v>
      </c>
      <c r="AB40" s="2">
        <v>99.6</v>
      </c>
      <c r="AC40">
        <v>1</v>
      </c>
    </row>
    <row r="41" spans="1:29" x14ac:dyDescent="0.3">
      <c r="A41" s="1">
        <f t="shared" si="0"/>
        <v>40</v>
      </c>
      <c r="B41">
        <v>1</v>
      </c>
      <c r="C41">
        <v>797.1</v>
      </c>
      <c r="D41">
        <v>171.4</v>
      </c>
      <c r="E41">
        <v>133.80000000000001</v>
      </c>
      <c r="F41">
        <v>100</v>
      </c>
      <c r="G41">
        <v>29</v>
      </c>
      <c r="H41">
        <v>48</v>
      </c>
      <c r="I41">
        <v>712</v>
      </c>
      <c r="J41">
        <v>23.39</v>
      </c>
      <c r="K41">
        <v>11.06</v>
      </c>
      <c r="L41">
        <v>0.29699999999999999</v>
      </c>
      <c r="M41">
        <v>3.2000000000000002E-3</v>
      </c>
      <c r="N41">
        <v>0.50339999999999996</v>
      </c>
      <c r="O41">
        <v>0.76970000000000005</v>
      </c>
      <c r="P41">
        <v>360.31</v>
      </c>
      <c r="Q41">
        <v>5644.06</v>
      </c>
      <c r="R41">
        <v>3.92</v>
      </c>
      <c r="S41">
        <v>21.08</v>
      </c>
      <c r="T41">
        <v>0.21429999999999999</v>
      </c>
      <c r="U41">
        <v>1.0822000000000001</v>
      </c>
      <c r="V41">
        <v>7.5061</v>
      </c>
      <c r="W41">
        <v>0.81130000000000002</v>
      </c>
      <c r="X41">
        <v>0.1258</v>
      </c>
      <c r="Y41">
        <v>1.4287000000000001</v>
      </c>
      <c r="Z41" s="2">
        <v>98</v>
      </c>
      <c r="AA41">
        <v>1</v>
      </c>
      <c r="AB41" s="2">
        <v>94.5</v>
      </c>
      <c r="AC41">
        <v>1</v>
      </c>
    </row>
    <row r="42" spans="1:29" x14ac:dyDescent="0.3">
      <c r="A42" s="1">
        <f t="shared" si="0"/>
        <v>41</v>
      </c>
      <c r="B42">
        <v>1</v>
      </c>
      <c r="C42">
        <v>700.1</v>
      </c>
      <c r="D42">
        <v>165.3</v>
      </c>
      <c r="E42">
        <v>133.6</v>
      </c>
      <c r="F42">
        <v>105</v>
      </c>
      <c r="G42">
        <v>28</v>
      </c>
      <c r="H42">
        <v>48</v>
      </c>
      <c r="I42">
        <v>712</v>
      </c>
      <c r="J42">
        <v>26.09</v>
      </c>
      <c r="K42">
        <v>12.19</v>
      </c>
      <c r="L42">
        <v>0.26540000000000002</v>
      </c>
      <c r="M42">
        <v>4.0000000000000001E-3</v>
      </c>
      <c r="N42">
        <v>0.60470000000000002</v>
      </c>
      <c r="O42">
        <v>0.74150000000000005</v>
      </c>
      <c r="P42">
        <v>334.95</v>
      </c>
      <c r="Q42">
        <v>6686.03</v>
      </c>
      <c r="R42">
        <v>4.12</v>
      </c>
      <c r="S42">
        <v>16.57</v>
      </c>
      <c r="T42">
        <v>0.22770000000000001</v>
      </c>
      <c r="U42">
        <v>1.2490000000000001</v>
      </c>
      <c r="V42">
        <v>7.2007000000000003</v>
      </c>
      <c r="W42">
        <v>0.78110000000000002</v>
      </c>
      <c r="X42">
        <v>0.1115</v>
      </c>
      <c r="Y42">
        <v>1.6376999999999999</v>
      </c>
      <c r="AA42">
        <v>0</v>
      </c>
      <c r="AC42">
        <v>0</v>
      </c>
    </row>
    <row r="43" spans="1:29" x14ac:dyDescent="0.3">
      <c r="A43" s="1">
        <f t="shared" si="0"/>
        <v>42</v>
      </c>
      <c r="B43">
        <v>1</v>
      </c>
      <c r="C43">
        <v>840.4</v>
      </c>
      <c r="D43">
        <v>216.9</v>
      </c>
      <c r="E43">
        <v>202.9</v>
      </c>
      <c r="F43">
        <v>185</v>
      </c>
      <c r="G43">
        <v>32</v>
      </c>
      <c r="H43">
        <v>68</v>
      </c>
      <c r="I43">
        <v>712</v>
      </c>
      <c r="J43">
        <v>25.8</v>
      </c>
      <c r="K43">
        <v>9.43</v>
      </c>
      <c r="L43">
        <v>0.2777</v>
      </c>
      <c r="M43">
        <v>6.8999999999999999E-3</v>
      </c>
      <c r="N43">
        <v>0.96989999999999998</v>
      </c>
      <c r="O43">
        <v>0.71379999999999999</v>
      </c>
      <c r="P43">
        <v>338.87</v>
      </c>
      <c r="Q43">
        <v>8368.26</v>
      </c>
      <c r="R43">
        <v>3.13</v>
      </c>
      <c r="S43">
        <v>14.65</v>
      </c>
      <c r="T43">
        <v>0.18379999999999999</v>
      </c>
      <c r="U43">
        <v>1.1836</v>
      </c>
      <c r="V43">
        <v>12.472200000000001</v>
      </c>
      <c r="W43">
        <v>0.84089999999999998</v>
      </c>
      <c r="X43">
        <v>0.1081</v>
      </c>
      <c r="Y43">
        <v>3.3254999999999999</v>
      </c>
      <c r="Z43" s="2">
        <v>91.5</v>
      </c>
      <c r="AA43">
        <v>1</v>
      </c>
      <c r="AB43" s="2">
        <v>89.9</v>
      </c>
      <c r="AC43">
        <v>0</v>
      </c>
    </row>
    <row r="44" spans="1:29" x14ac:dyDescent="0.3">
      <c r="A44" s="1">
        <f t="shared" si="0"/>
        <v>43</v>
      </c>
      <c r="B44">
        <v>3</v>
      </c>
      <c r="C44">
        <v>2083.9</v>
      </c>
      <c r="D44">
        <v>314.39999999999998</v>
      </c>
      <c r="E44">
        <v>220</v>
      </c>
      <c r="F44">
        <v>249.6</v>
      </c>
      <c r="G44">
        <v>7</v>
      </c>
      <c r="H44">
        <v>32</v>
      </c>
      <c r="I44">
        <v>880</v>
      </c>
      <c r="J44">
        <v>35.25</v>
      </c>
      <c r="K44">
        <v>15.13</v>
      </c>
      <c r="L44">
        <v>0.22550000000000001</v>
      </c>
      <c r="M44">
        <v>0</v>
      </c>
      <c r="N44">
        <v>0.48209999999999997</v>
      </c>
      <c r="O44">
        <v>0.48809999999999998</v>
      </c>
      <c r="P44">
        <v>427.74</v>
      </c>
      <c r="Q44">
        <v>5030.49</v>
      </c>
      <c r="R44">
        <v>2.52</v>
      </c>
      <c r="S44">
        <v>40.049999999999997</v>
      </c>
      <c r="T44">
        <v>0.18010000000000001</v>
      </c>
      <c r="U44">
        <v>1.3947000000000001</v>
      </c>
      <c r="V44">
        <v>8.9474999999999998</v>
      </c>
      <c r="W44">
        <v>0.8518</v>
      </c>
      <c r="X44">
        <v>6.0900000000000003E-2</v>
      </c>
      <c r="Y44">
        <v>1.9651000000000001</v>
      </c>
      <c r="Z44" s="2">
        <v>91.8</v>
      </c>
      <c r="AA44">
        <v>1</v>
      </c>
      <c r="AB44" s="2">
        <v>89.6</v>
      </c>
      <c r="AC44">
        <v>0</v>
      </c>
    </row>
    <row r="45" spans="1:29" x14ac:dyDescent="0.3">
      <c r="A45" s="1">
        <f t="shared" si="0"/>
        <v>44</v>
      </c>
      <c r="B45">
        <v>3</v>
      </c>
      <c r="C45">
        <v>2575.5</v>
      </c>
      <c r="D45">
        <v>359.5</v>
      </c>
      <c r="E45">
        <v>166.6</v>
      </c>
      <c r="F45">
        <v>285</v>
      </c>
      <c r="G45">
        <v>9</v>
      </c>
      <c r="H45">
        <v>37</v>
      </c>
      <c r="I45">
        <v>840</v>
      </c>
      <c r="J45">
        <v>36.409999999999997</v>
      </c>
      <c r="K45">
        <v>18.45</v>
      </c>
      <c r="L45">
        <v>0.222</v>
      </c>
      <c r="M45">
        <v>0</v>
      </c>
      <c r="N45">
        <v>0.37180000000000002</v>
      </c>
      <c r="O45">
        <v>0.58579999999999999</v>
      </c>
      <c r="P45">
        <v>440.36</v>
      </c>
      <c r="Q45">
        <v>3664.96</v>
      </c>
      <c r="R45">
        <v>2.1800000000000002</v>
      </c>
      <c r="S45">
        <v>72.099999999999994</v>
      </c>
      <c r="T45">
        <v>0.2261</v>
      </c>
      <c r="U45">
        <v>1.2277</v>
      </c>
      <c r="V45">
        <v>8.2421000000000006</v>
      </c>
      <c r="W45">
        <v>0.80630000000000002</v>
      </c>
      <c r="X45">
        <v>5.0900000000000001E-2</v>
      </c>
      <c r="Y45">
        <v>1.7134</v>
      </c>
      <c r="Z45" s="2">
        <v>87.3</v>
      </c>
      <c r="AA45">
        <v>0</v>
      </c>
      <c r="AB45" s="2">
        <v>91.9</v>
      </c>
      <c r="AC45">
        <v>1</v>
      </c>
    </row>
    <row r="46" spans="1:29" x14ac:dyDescent="0.3">
      <c r="A46" s="1">
        <f t="shared" si="0"/>
        <v>45</v>
      </c>
      <c r="B46">
        <v>3</v>
      </c>
      <c r="C46">
        <v>2196.4</v>
      </c>
      <c r="D46">
        <v>328.4</v>
      </c>
      <c r="E46">
        <v>211</v>
      </c>
      <c r="F46">
        <v>275</v>
      </c>
      <c r="G46">
        <v>10</v>
      </c>
      <c r="H46">
        <v>37</v>
      </c>
      <c r="I46">
        <v>840</v>
      </c>
      <c r="J46">
        <v>29.7</v>
      </c>
      <c r="K46">
        <v>15.57</v>
      </c>
      <c r="L46">
        <v>0.2145</v>
      </c>
      <c r="M46">
        <v>0</v>
      </c>
      <c r="N46">
        <v>0.34420000000000001</v>
      </c>
      <c r="O46">
        <v>0.71309999999999996</v>
      </c>
      <c r="P46">
        <v>424.29</v>
      </c>
      <c r="Q46">
        <v>5245.24</v>
      </c>
      <c r="R46">
        <v>2.27</v>
      </c>
      <c r="S46">
        <v>71.260000000000005</v>
      </c>
      <c r="T46">
        <v>0.21729999999999999</v>
      </c>
      <c r="U46">
        <v>1.2304999999999999</v>
      </c>
      <c r="V46">
        <v>7.8593000000000002</v>
      </c>
      <c r="W46">
        <v>0.87670000000000003</v>
      </c>
      <c r="X46">
        <v>5.1200000000000002E-2</v>
      </c>
      <c r="Y46">
        <v>1.5697000000000001</v>
      </c>
      <c r="Z46" s="2">
        <v>88.1</v>
      </c>
      <c r="AA46">
        <v>0</v>
      </c>
      <c r="AB46" s="2">
        <v>89.6</v>
      </c>
      <c r="AC46">
        <v>0</v>
      </c>
    </row>
    <row r="47" spans="1:29" x14ac:dyDescent="0.3">
      <c r="A47" s="1">
        <f t="shared" si="0"/>
        <v>46</v>
      </c>
      <c r="B47">
        <v>1</v>
      </c>
      <c r="C47">
        <v>730.9</v>
      </c>
      <c r="D47">
        <v>163.19999999999999</v>
      </c>
      <c r="E47">
        <v>118.8</v>
      </c>
      <c r="F47">
        <v>120</v>
      </c>
      <c r="G47">
        <v>31</v>
      </c>
      <c r="H47">
        <v>54</v>
      </c>
      <c r="I47">
        <v>714</v>
      </c>
      <c r="J47">
        <v>21.25</v>
      </c>
      <c r="K47">
        <v>8.59</v>
      </c>
      <c r="L47">
        <v>0.28560000000000002</v>
      </c>
      <c r="M47">
        <v>7.4000000000000003E-3</v>
      </c>
      <c r="N47">
        <v>0.52890000000000004</v>
      </c>
      <c r="O47">
        <v>0.97450000000000003</v>
      </c>
      <c r="P47">
        <v>327.52</v>
      </c>
      <c r="Q47">
        <v>7133.31</v>
      </c>
      <c r="R47">
        <v>4.25</v>
      </c>
      <c r="S47">
        <v>14.52</v>
      </c>
      <c r="T47">
        <v>0.20960000000000001</v>
      </c>
      <c r="U47">
        <v>1.0653999999999999</v>
      </c>
      <c r="V47">
        <v>7.6826999999999996</v>
      </c>
      <c r="W47">
        <v>0.78190000000000004</v>
      </c>
      <c r="X47">
        <v>0.12230000000000001</v>
      </c>
      <c r="Y47">
        <v>1.2602</v>
      </c>
      <c r="Z47" s="2">
        <v>93.1</v>
      </c>
      <c r="AA47">
        <v>1</v>
      </c>
      <c r="AB47" s="2">
        <v>94.4</v>
      </c>
      <c r="AC47">
        <v>1</v>
      </c>
    </row>
    <row r="48" spans="1:29" x14ac:dyDescent="0.3">
      <c r="A48" s="1">
        <f t="shared" si="0"/>
        <v>47</v>
      </c>
      <c r="B48">
        <v>1</v>
      </c>
      <c r="C48">
        <v>1131.5999999999999</v>
      </c>
      <c r="D48">
        <v>194.3</v>
      </c>
      <c r="E48">
        <v>196.1</v>
      </c>
      <c r="F48">
        <v>250</v>
      </c>
      <c r="G48">
        <v>23</v>
      </c>
      <c r="H48">
        <v>72</v>
      </c>
      <c r="I48">
        <v>714</v>
      </c>
      <c r="J48">
        <v>22.87</v>
      </c>
      <c r="K48">
        <v>8.64</v>
      </c>
      <c r="L48">
        <v>0.31009999999999999</v>
      </c>
      <c r="M48">
        <v>9.4999999999999998E-3</v>
      </c>
      <c r="N48">
        <v>0.68500000000000005</v>
      </c>
      <c r="O48">
        <v>0.65669999999999995</v>
      </c>
      <c r="P48">
        <v>394.53</v>
      </c>
      <c r="Q48">
        <v>9825.2999999999993</v>
      </c>
      <c r="R48">
        <v>3.44</v>
      </c>
      <c r="S48">
        <v>62.63</v>
      </c>
      <c r="T48">
        <v>0.14849999999999999</v>
      </c>
      <c r="U48">
        <v>1.7434000000000001</v>
      </c>
      <c r="V48">
        <v>17.9922</v>
      </c>
      <c r="W48">
        <v>0.86870000000000003</v>
      </c>
      <c r="X48">
        <v>0.1149</v>
      </c>
      <c r="Y48">
        <v>2.028</v>
      </c>
      <c r="Z48" s="2">
        <v>97.2</v>
      </c>
      <c r="AA48">
        <v>1</v>
      </c>
      <c r="AB48" s="2">
        <v>96</v>
      </c>
      <c r="AC48">
        <v>1</v>
      </c>
    </row>
    <row r="49" spans="1:29" x14ac:dyDescent="0.3">
      <c r="A49" s="1">
        <f t="shared" si="0"/>
        <v>48</v>
      </c>
      <c r="B49">
        <v>2</v>
      </c>
      <c r="C49">
        <v>767</v>
      </c>
      <c r="D49">
        <v>179.6</v>
      </c>
      <c r="E49">
        <v>109.1</v>
      </c>
      <c r="F49">
        <v>125</v>
      </c>
      <c r="G49">
        <v>28</v>
      </c>
      <c r="H49">
        <v>52</v>
      </c>
      <c r="I49">
        <v>712</v>
      </c>
      <c r="J49">
        <v>25.76</v>
      </c>
      <c r="K49">
        <v>11.87</v>
      </c>
      <c r="L49">
        <v>0.2392</v>
      </c>
      <c r="M49">
        <v>2.8E-3</v>
      </c>
      <c r="N49">
        <v>0.43359999999999999</v>
      </c>
      <c r="O49">
        <v>0.82630000000000003</v>
      </c>
      <c r="P49">
        <v>377.28</v>
      </c>
      <c r="Q49">
        <v>7782.49</v>
      </c>
      <c r="R49">
        <v>3.5</v>
      </c>
      <c r="S49">
        <v>24.02</v>
      </c>
      <c r="T49">
        <v>0.25640000000000002</v>
      </c>
      <c r="U49">
        <v>1.1511</v>
      </c>
      <c r="V49">
        <v>8.0218000000000007</v>
      </c>
      <c r="W49">
        <v>0.75029999999999997</v>
      </c>
      <c r="X49">
        <v>0.1036</v>
      </c>
      <c r="Y49">
        <v>1.4118999999999999</v>
      </c>
      <c r="Z49" s="2">
        <v>96.7</v>
      </c>
      <c r="AA49">
        <v>1</v>
      </c>
      <c r="AB49" s="2">
        <v>93.5</v>
      </c>
      <c r="AC49">
        <v>1</v>
      </c>
    </row>
    <row r="50" spans="1:29" x14ac:dyDescent="0.3">
      <c r="A50" s="1">
        <f t="shared" si="0"/>
        <v>49</v>
      </c>
      <c r="B50">
        <v>3</v>
      </c>
      <c r="C50">
        <v>774.2</v>
      </c>
      <c r="D50">
        <v>132.4</v>
      </c>
      <c r="E50">
        <v>253.1</v>
      </c>
      <c r="F50">
        <v>290</v>
      </c>
      <c r="G50">
        <v>7</v>
      </c>
      <c r="H50">
        <v>37</v>
      </c>
      <c r="I50">
        <v>474</v>
      </c>
      <c r="J50">
        <v>42.2</v>
      </c>
      <c r="K50">
        <v>20.29</v>
      </c>
      <c r="L50">
        <v>0.23300000000000001</v>
      </c>
      <c r="M50">
        <v>0</v>
      </c>
      <c r="N50">
        <v>0.59030000000000005</v>
      </c>
      <c r="O50">
        <v>0.77</v>
      </c>
      <c r="P50">
        <v>397.51</v>
      </c>
      <c r="Q50">
        <v>7782.17</v>
      </c>
      <c r="R50">
        <v>3.28</v>
      </c>
      <c r="S50">
        <v>59.11</v>
      </c>
      <c r="T50">
        <v>0.17419999999999999</v>
      </c>
      <c r="U50">
        <v>1.3381000000000001</v>
      </c>
      <c r="V50">
        <v>6.4471999999999996</v>
      </c>
      <c r="W50">
        <v>0.87039999999999995</v>
      </c>
      <c r="X50">
        <v>5.3699999999999998E-2</v>
      </c>
      <c r="Y50">
        <v>1.843</v>
      </c>
      <c r="Z50" s="2">
        <v>92.7</v>
      </c>
      <c r="AA50">
        <v>1</v>
      </c>
      <c r="AB50" s="2">
        <v>87.8</v>
      </c>
      <c r="AC50">
        <v>0</v>
      </c>
    </row>
    <row r="51" spans="1:29" x14ac:dyDescent="0.3">
      <c r="A51" s="1">
        <f t="shared" si="0"/>
        <v>50</v>
      </c>
      <c r="B51">
        <v>1</v>
      </c>
      <c r="C51">
        <v>733.9</v>
      </c>
      <c r="D51">
        <v>163.5</v>
      </c>
      <c r="E51">
        <v>103.6</v>
      </c>
      <c r="F51">
        <v>110</v>
      </c>
      <c r="G51">
        <v>31</v>
      </c>
      <c r="H51">
        <v>52</v>
      </c>
      <c r="I51">
        <v>712</v>
      </c>
      <c r="J51">
        <v>22.41</v>
      </c>
      <c r="K51">
        <v>9.2899999999999991</v>
      </c>
      <c r="L51">
        <v>0.2797</v>
      </c>
      <c r="M51">
        <v>4.4999999999999997E-3</v>
      </c>
      <c r="N51">
        <v>0.4642</v>
      </c>
      <c r="O51">
        <v>0.93130000000000002</v>
      </c>
      <c r="P51">
        <v>347.77</v>
      </c>
      <c r="Q51">
        <v>6275.94</v>
      </c>
      <c r="R51">
        <v>4.22</v>
      </c>
      <c r="S51">
        <v>13.25</v>
      </c>
      <c r="T51">
        <v>0.22339999999999999</v>
      </c>
      <c r="U51">
        <v>1.0014000000000001</v>
      </c>
      <c r="V51">
        <v>7.3392999999999997</v>
      </c>
      <c r="W51">
        <v>0.76419999999999999</v>
      </c>
      <c r="X51">
        <v>0.11459999999999999</v>
      </c>
      <c r="Y51">
        <v>1.2062999999999999</v>
      </c>
      <c r="Z51" s="2">
        <v>95.4</v>
      </c>
      <c r="AA51">
        <v>1</v>
      </c>
      <c r="AB51" s="2">
        <v>96.7</v>
      </c>
      <c r="AC51">
        <v>1</v>
      </c>
    </row>
    <row r="52" spans="1:29" x14ac:dyDescent="0.3">
      <c r="A52" s="1">
        <f t="shared" si="0"/>
        <v>51</v>
      </c>
      <c r="B52">
        <v>1</v>
      </c>
      <c r="C52">
        <v>763.5</v>
      </c>
      <c r="D52">
        <v>164.7</v>
      </c>
      <c r="E52">
        <v>190.9</v>
      </c>
      <c r="F52">
        <v>235</v>
      </c>
      <c r="G52">
        <v>31</v>
      </c>
      <c r="H52">
        <v>77</v>
      </c>
      <c r="I52">
        <v>712</v>
      </c>
      <c r="J52">
        <v>31.07</v>
      </c>
      <c r="K52">
        <v>13.29</v>
      </c>
      <c r="L52">
        <v>0.24809999999999999</v>
      </c>
      <c r="M52">
        <v>4.1999999999999997E-3</v>
      </c>
      <c r="N52">
        <v>0.6865</v>
      </c>
      <c r="O52">
        <v>0.76929999999999998</v>
      </c>
      <c r="P52">
        <v>342.58</v>
      </c>
      <c r="Q52">
        <v>7441.29</v>
      </c>
      <c r="R52">
        <v>4.17</v>
      </c>
      <c r="S52">
        <v>15.66</v>
      </c>
      <c r="T52">
        <v>0.2077</v>
      </c>
      <c r="U52">
        <v>1.3447</v>
      </c>
      <c r="V52">
        <v>13.0387</v>
      </c>
      <c r="W52">
        <v>0.79569999999999996</v>
      </c>
      <c r="X52">
        <v>8.8800000000000004E-2</v>
      </c>
      <c r="Y52">
        <v>1.6794</v>
      </c>
      <c r="Z52" s="2">
        <v>97.5</v>
      </c>
      <c r="AA52">
        <v>1</v>
      </c>
      <c r="AB52" s="2">
        <v>96.6</v>
      </c>
      <c r="AC52">
        <v>1</v>
      </c>
    </row>
    <row r="53" spans="1:29" x14ac:dyDescent="0.3">
      <c r="A53" s="1">
        <f t="shared" si="0"/>
        <v>52</v>
      </c>
      <c r="B53">
        <v>3</v>
      </c>
      <c r="C53">
        <v>708.4</v>
      </c>
      <c r="D53">
        <v>163.1</v>
      </c>
      <c r="E53">
        <v>197.6</v>
      </c>
      <c r="F53">
        <v>310</v>
      </c>
      <c r="G53">
        <v>3</v>
      </c>
      <c r="H53">
        <v>33</v>
      </c>
      <c r="I53">
        <v>712</v>
      </c>
      <c r="J53">
        <v>34.96</v>
      </c>
      <c r="K53">
        <v>18.649999999999999</v>
      </c>
      <c r="L53">
        <v>0.222</v>
      </c>
      <c r="M53">
        <v>0</v>
      </c>
      <c r="N53">
        <v>0.7177</v>
      </c>
      <c r="O53">
        <v>0.68230000000000002</v>
      </c>
      <c r="P53">
        <v>328.75</v>
      </c>
      <c r="Q53">
        <v>6994.25</v>
      </c>
      <c r="R53">
        <v>4.22</v>
      </c>
      <c r="S53">
        <v>13.57</v>
      </c>
      <c r="T53">
        <v>0.21310000000000001</v>
      </c>
      <c r="U53">
        <v>1.3742000000000001</v>
      </c>
      <c r="V53">
        <v>10.2181</v>
      </c>
      <c r="W53">
        <v>0.79610000000000003</v>
      </c>
      <c r="X53">
        <v>5.2499999999999998E-2</v>
      </c>
      <c r="Y53">
        <v>1.8019000000000001</v>
      </c>
      <c r="Z53" s="2">
        <v>90.9</v>
      </c>
      <c r="AA53">
        <v>1</v>
      </c>
      <c r="AB53" s="2">
        <v>96.1</v>
      </c>
      <c r="AC53">
        <v>1</v>
      </c>
    </row>
    <row r="54" spans="1:29" x14ac:dyDescent="0.3">
      <c r="A54" s="1">
        <f t="shared" si="0"/>
        <v>53</v>
      </c>
      <c r="B54">
        <v>1</v>
      </c>
      <c r="C54">
        <v>626.4</v>
      </c>
      <c r="D54">
        <v>163.5</v>
      </c>
      <c r="E54">
        <v>157</v>
      </c>
      <c r="F54">
        <v>85</v>
      </c>
      <c r="G54">
        <v>29</v>
      </c>
      <c r="H54">
        <v>45</v>
      </c>
      <c r="I54">
        <v>712</v>
      </c>
      <c r="J54">
        <v>34.380000000000003</v>
      </c>
      <c r="K54">
        <v>15.75</v>
      </c>
      <c r="L54">
        <v>0.28210000000000002</v>
      </c>
      <c r="M54">
        <v>1.1999999999999999E-3</v>
      </c>
      <c r="N54">
        <v>0.51919999999999999</v>
      </c>
      <c r="O54">
        <v>0.75580000000000003</v>
      </c>
      <c r="P54">
        <v>311.88</v>
      </c>
      <c r="Q54">
        <v>5920.33</v>
      </c>
      <c r="R54">
        <v>4.3</v>
      </c>
      <c r="S54">
        <v>13.49</v>
      </c>
      <c r="T54">
        <v>0.2447</v>
      </c>
      <c r="U54">
        <v>1.0073000000000001</v>
      </c>
      <c r="V54">
        <v>6.7327000000000004</v>
      </c>
      <c r="W54">
        <v>0.74260000000000004</v>
      </c>
      <c r="X54">
        <v>0.1172</v>
      </c>
      <c r="Y54">
        <v>1.2749999999999999</v>
      </c>
      <c r="Z54" s="2">
        <v>96.1</v>
      </c>
      <c r="AA54">
        <v>1</v>
      </c>
      <c r="AB54" s="2">
        <v>93.5</v>
      </c>
      <c r="AC54">
        <v>1</v>
      </c>
    </row>
    <row r="55" spans="1:29" x14ac:dyDescent="0.3">
      <c r="A55" s="1">
        <f t="shared" si="0"/>
        <v>54</v>
      </c>
      <c r="B55">
        <v>1</v>
      </c>
      <c r="C55">
        <v>724.9</v>
      </c>
      <c r="D55">
        <v>166.2</v>
      </c>
      <c r="E55">
        <v>169.4</v>
      </c>
      <c r="F55">
        <v>100</v>
      </c>
      <c r="G55">
        <v>28</v>
      </c>
      <c r="H55">
        <v>47</v>
      </c>
      <c r="I55">
        <v>712</v>
      </c>
      <c r="J55">
        <v>31.45</v>
      </c>
      <c r="K55">
        <v>15.77</v>
      </c>
      <c r="L55">
        <v>0.2833</v>
      </c>
      <c r="M55">
        <v>3.8E-3</v>
      </c>
      <c r="N55">
        <v>0.63880000000000003</v>
      </c>
      <c r="O55">
        <v>0.69550000000000001</v>
      </c>
      <c r="P55">
        <v>332.6</v>
      </c>
      <c r="Q55">
        <v>7234.08</v>
      </c>
      <c r="R55">
        <v>4.18</v>
      </c>
      <c r="S55">
        <v>20.440000000000001</v>
      </c>
      <c r="T55">
        <v>0.20880000000000001</v>
      </c>
      <c r="U55">
        <v>1.3038000000000001</v>
      </c>
      <c r="V55">
        <v>7.8501000000000003</v>
      </c>
      <c r="W55">
        <v>0.78310000000000002</v>
      </c>
      <c r="X55">
        <v>0.12540000000000001</v>
      </c>
      <c r="Y55">
        <v>1.6357999999999999</v>
      </c>
      <c r="Z55" s="2">
        <v>99</v>
      </c>
      <c r="AA55">
        <v>1</v>
      </c>
      <c r="AB55" s="2">
        <v>95.1</v>
      </c>
      <c r="AC55">
        <v>1</v>
      </c>
    </row>
    <row r="56" spans="1:29" x14ac:dyDescent="0.3">
      <c r="A56" s="1">
        <f t="shared" si="0"/>
        <v>55</v>
      </c>
      <c r="B56">
        <v>2</v>
      </c>
      <c r="C56">
        <v>774.8</v>
      </c>
      <c r="D56">
        <v>205.5</v>
      </c>
      <c r="E56">
        <v>228.4</v>
      </c>
      <c r="F56">
        <v>240</v>
      </c>
      <c r="G56">
        <v>33</v>
      </c>
      <c r="H56">
        <v>80</v>
      </c>
      <c r="I56">
        <v>718</v>
      </c>
      <c r="J56">
        <v>30.99</v>
      </c>
      <c r="K56">
        <v>11.99</v>
      </c>
      <c r="L56">
        <v>0.26100000000000001</v>
      </c>
      <c r="M56">
        <v>6.0000000000000001E-3</v>
      </c>
      <c r="N56">
        <v>1.0452999999999999</v>
      </c>
      <c r="O56">
        <v>0.73419999999999996</v>
      </c>
      <c r="P56">
        <v>337.35</v>
      </c>
      <c r="Q56">
        <v>9102.15</v>
      </c>
      <c r="R56">
        <v>3.35</v>
      </c>
      <c r="S56">
        <v>15.09</v>
      </c>
      <c r="T56">
        <v>0.1991</v>
      </c>
      <c r="U56">
        <v>1.2989999999999999</v>
      </c>
      <c r="V56">
        <v>14.625400000000001</v>
      </c>
      <c r="W56">
        <v>0.83230000000000004</v>
      </c>
      <c r="X56">
        <v>9.5200000000000007E-2</v>
      </c>
      <c r="Y56">
        <v>3.2071999999999998</v>
      </c>
      <c r="Z56" s="2">
        <v>90.3</v>
      </c>
      <c r="AA56">
        <v>1</v>
      </c>
      <c r="AB56" s="2">
        <v>90.2</v>
      </c>
      <c r="AC56">
        <v>1</v>
      </c>
    </row>
    <row r="57" spans="1:29" x14ac:dyDescent="0.3">
      <c r="A57" s="1">
        <f t="shared" si="0"/>
        <v>56</v>
      </c>
      <c r="B57">
        <v>2</v>
      </c>
      <c r="C57">
        <v>589.9</v>
      </c>
      <c r="D57">
        <v>164.3</v>
      </c>
      <c r="E57">
        <v>130.80000000000001</v>
      </c>
      <c r="F57">
        <v>140</v>
      </c>
      <c r="G57">
        <v>25</v>
      </c>
      <c r="H57">
        <v>53</v>
      </c>
      <c r="I57">
        <v>714</v>
      </c>
      <c r="J57">
        <v>26.06</v>
      </c>
      <c r="K57">
        <v>11.28</v>
      </c>
      <c r="L57">
        <v>0.24349999999999999</v>
      </c>
      <c r="M57">
        <v>7.1000000000000004E-3</v>
      </c>
      <c r="N57">
        <v>0.58809999999999996</v>
      </c>
      <c r="O57">
        <v>0.9052</v>
      </c>
      <c r="P57">
        <v>325.8</v>
      </c>
      <c r="Q57">
        <v>6944.36</v>
      </c>
      <c r="R57">
        <v>4.2300000000000004</v>
      </c>
      <c r="S57">
        <v>15.32</v>
      </c>
      <c r="T57">
        <v>0.218</v>
      </c>
      <c r="U57">
        <v>1.1067</v>
      </c>
      <c r="V57">
        <v>7.6166</v>
      </c>
      <c r="W57">
        <v>0.82130000000000003</v>
      </c>
      <c r="X57">
        <v>9.8199999999999996E-2</v>
      </c>
      <c r="Y57">
        <v>1.4507000000000001</v>
      </c>
      <c r="Z57" s="2">
        <v>94.4</v>
      </c>
      <c r="AA57">
        <v>1</v>
      </c>
      <c r="AB57" s="2">
        <v>97.8</v>
      </c>
      <c r="AC57">
        <v>1</v>
      </c>
    </row>
    <row r="58" spans="1:29" x14ac:dyDescent="0.3">
      <c r="A58" s="1">
        <f t="shared" si="0"/>
        <v>57</v>
      </c>
      <c r="B58">
        <v>2</v>
      </c>
      <c r="C58">
        <v>724.8</v>
      </c>
      <c r="D58">
        <v>170.1</v>
      </c>
      <c r="E58">
        <v>224.9</v>
      </c>
      <c r="F58">
        <v>280</v>
      </c>
      <c r="G58">
        <v>13</v>
      </c>
      <c r="H58">
        <v>68</v>
      </c>
      <c r="I58">
        <v>714</v>
      </c>
      <c r="J58">
        <v>36.270000000000003</v>
      </c>
      <c r="K58">
        <v>15.13</v>
      </c>
      <c r="L58">
        <v>0.26700000000000002</v>
      </c>
      <c r="M58">
        <v>5.4999999999999997E-3</v>
      </c>
      <c r="N58">
        <v>0.77300000000000002</v>
      </c>
      <c r="O58">
        <v>0.67090000000000005</v>
      </c>
      <c r="P58">
        <v>346.43</v>
      </c>
      <c r="Q58">
        <v>11503.76</v>
      </c>
      <c r="R58">
        <v>4.09</v>
      </c>
      <c r="S58">
        <v>28.98</v>
      </c>
      <c r="T58">
        <v>0.1729</v>
      </c>
      <c r="U58">
        <v>1.5428999999999999</v>
      </c>
      <c r="V58">
        <v>14.887</v>
      </c>
      <c r="W58">
        <v>0.84409999999999996</v>
      </c>
      <c r="X58">
        <v>9.8900000000000002E-2</v>
      </c>
      <c r="Y58">
        <v>1.9498</v>
      </c>
      <c r="Z58" s="2">
        <v>96.5</v>
      </c>
      <c r="AA58">
        <v>1</v>
      </c>
      <c r="AB58" s="2">
        <v>95.7</v>
      </c>
      <c r="AC58">
        <v>1</v>
      </c>
    </row>
    <row r="59" spans="1:29" x14ac:dyDescent="0.3">
      <c r="A59" s="1">
        <f t="shared" si="0"/>
        <v>58</v>
      </c>
      <c r="B59">
        <v>2</v>
      </c>
      <c r="C59">
        <v>508</v>
      </c>
      <c r="D59">
        <v>169.2</v>
      </c>
      <c r="E59">
        <v>84.8</v>
      </c>
      <c r="F59">
        <v>70</v>
      </c>
      <c r="G59">
        <v>35</v>
      </c>
      <c r="H59">
        <v>48</v>
      </c>
      <c r="I59">
        <v>718</v>
      </c>
      <c r="J59">
        <v>28.79</v>
      </c>
      <c r="K59">
        <v>18.36</v>
      </c>
      <c r="L59">
        <v>0.20050000000000001</v>
      </c>
      <c r="M59">
        <v>3.0000000000000001E-3</v>
      </c>
      <c r="N59">
        <v>0.4788</v>
      </c>
      <c r="O59">
        <v>1.0589</v>
      </c>
      <c r="P59">
        <v>279.39</v>
      </c>
      <c r="Q59">
        <v>7026.37</v>
      </c>
      <c r="R59">
        <v>4.1399999999999997</v>
      </c>
      <c r="S59">
        <v>30.24</v>
      </c>
      <c r="T59">
        <v>0.34849999999999998</v>
      </c>
      <c r="U59">
        <v>0.80369999999999997</v>
      </c>
      <c r="V59">
        <v>4.0720000000000001</v>
      </c>
      <c r="W59">
        <v>0.60670000000000002</v>
      </c>
      <c r="X59">
        <v>9.1800000000000007E-2</v>
      </c>
      <c r="Y59">
        <v>1.2942</v>
      </c>
      <c r="Z59" s="2">
        <v>91.3</v>
      </c>
      <c r="AA59">
        <v>1</v>
      </c>
      <c r="AB59" s="2">
        <v>93.9</v>
      </c>
      <c r="AC59">
        <v>1</v>
      </c>
    </row>
    <row r="60" spans="1:29" x14ac:dyDescent="0.3">
      <c r="A60" s="1">
        <f t="shared" si="0"/>
        <v>59</v>
      </c>
      <c r="B60">
        <v>2</v>
      </c>
      <c r="C60">
        <v>529.9</v>
      </c>
      <c r="D60">
        <v>173.1</v>
      </c>
      <c r="E60">
        <v>141.9</v>
      </c>
      <c r="F60">
        <v>85</v>
      </c>
      <c r="G60">
        <v>35</v>
      </c>
      <c r="H60">
        <v>51</v>
      </c>
      <c r="I60">
        <v>718</v>
      </c>
      <c r="J60">
        <v>30.18</v>
      </c>
      <c r="K60">
        <v>16.559999999999999</v>
      </c>
      <c r="L60">
        <v>0.2046</v>
      </c>
      <c r="M60">
        <v>1.4E-3</v>
      </c>
      <c r="N60">
        <v>0.46160000000000001</v>
      </c>
      <c r="O60">
        <v>1.0762</v>
      </c>
      <c r="P60">
        <v>297.23</v>
      </c>
      <c r="Q60">
        <v>7122.02</v>
      </c>
      <c r="R60">
        <v>4.03</v>
      </c>
      <c r="S60">
        <v>32.729999999999997</v>
      </c>
      <c r="T60">
        <v>0.31950000000000001</v>
      </c>
      <c r="U60">
        <v>0.80089999999999995</v>
      </c>
      <c r="V60">
        <v>4.5232000000000001</v>
      </c>
      <c r="W60">
        <v>0.76700000000000002</v>
      </c>
      <c r="X60">
        <v>9.1899999999999996E-2</v>
      </c>
      <c r="Y60">
        <v>1.3732</v>
      </c>
      <c r="Z60" s="2">
        <v>96.4</v>
      </c>
      <c r="AA60">
        <v>1</v>
      </c>
      <c r="AB60" s="2">
        <v>92.5</v>
      </c>
      <c r="AC60">
        <v>1</v>
      </c>
    </row>
    <row r="61" spans="1:29" x14ac:dyDescent="0.3">
      <c r="A61" s="1">
        <f t="shared" si="0"/>
        <v>60</v>
      </c>
      <c r="B61">
        <v>2</v>
      </c>
      <c r="C61">
        <v>723.7</v>
      </c>
      <c r="D61">
        <v>197.2</v>
      </c>
      <c r="E61">
        <v>193.5</v>
      </c>
      <c r="F61">
        <v>175</v>
      </c>
      <c r="G61">
        <v>29</v>
      </c>
      <c r="H61">
        <v>63</v>
      </c>
      <c r="I61">
        <v>718</v>
      </c>
      <c r="J61">
        <v>36.14</v>
      </c>
      <c r="K61">
        <v>13.36</v>
      </c>
      <c r="L61">
        <v>0.23530000000000001</v>
      </c>
      <c r="M61">
        <v>4.7000000000000002E-3</v>
      </c>
      <c r="N61">
        <v>0.97219999999999995</v>
      </c>
      <c r="O61">
        <v>0.79269999999999996</v>
      </c>
      <c r="P61">
        <v>316.31</v>
      </c>
      <c r="Q61">
        <v>10819.7</v>
      </c>
      <c r="R61">
        <v>3.53</v>
      </c>
      <c r="S61">
        <v>15.86</v>
      </c>
      <c r="T61">
        <v>0.23930000000000001</v>
      </c>
      <c r="U61">
        <v>1.2574000000000001</v>
      </c>
      <c r="V61">
        <v>9.6365999999999996</v>
      </c>
      <c r="W61">
        <v>0.75780000000000003</v>
      </c>
      <c r="X61">
        <v>8.5400000000000004E-2</v>
      </c>
      <c r="Y61">
        <v>3.0032999999999999</v>
      </c>
      <c r="Z61" s="2">
        <v>92.6</v>
      </c>
      <c r="AA61">
        <v>1</v>
      </c>
      <c r="AB61" s="2">
        <v>88.7</v>
      </c>
      <c r="AC61">
        <v>0</v>
      </c>
    </row>
    <row r="62" spans="1:29" x14ac:dyDescent="0.3">
      <c r="A62" s="1">
        <f t="shared" si="0"/>
        <v>61</v>
      </c>
      <c r="B62">
        <v>2</v>
      </c>
      <c r="C62">
        <v>833.1</v>
      </c>
      <c r="D62">
        <v>236.7</v>
      </c>
      <c r="E62">
        <v>187.5</v>
      </c>
      <c r="F62">
        <v>190</v>
      </c>
      <c r="G62">
        <v>28</v>
      </c>
      <c r="H62">
        <v>65</v>
      </c>
      <c r="I62">
        <v>716</v>
      </c>
      <c r="J62">
        <v>31.73</v>
      </c>
      <c r="K62">
        <v>11.67</v>
      </c>
      <c r="L62">
        <v>0.28070000000000001</v>
      </c>
      <c r="M62">
        <v>4.1999999999999997E-3</v>
      </c>
      <c r="N62">
        <v>0.98619999999999997</v>
      </c>
      <c r="O62">
        <v>0.90969999999999995</v>
      </c>
      <c r="P62">
        <v>285.27</v>
      </c>
      <c r="Q62">
        <v>11805.93</v>
      </c>
      <c r="R62">
        <v>2.99</v>
      </c>
      <c r="S62">
        <v>11.63</v>
      </c>
      <c r="T62">
        <v>0.20569999999999999</v>
      </c>
      <c r="U62">
        <v>1.1482000000000001</v>
      </c>
      <c r="V62">
        <v>12.3856</v>
      </c>
      <c r="W62">
        <v>0.82930000000000004</v>
      </c>
      <c r="X62">
        <v>0.1043</v>
      </c>
      <c r="Y62">
        <v>3.4689999999999999</v>
      </c>
      <c r="Z62" s="2">
        <v>89.7</v>
      </c>
      <c r="AA62">
        <v>0</v>
      </c>
      <c r="AB62" s="2">
        <v>93.7</v>
      </c>
      <c r="AC62">
        <v>1</v>
      </c>
    </row>
    <row r="63" spans="1:29" x14ac:dyDescent="0.3">
      <c r="A63" s="1">
        <f t="shared" si="0"/>
        <v>62</v>
      </c>
      <c r="B63">
        <v>2</v>
      </c>
      <c r="C63">
        <v>888</v>
      </c>
      <c r="D63">
        <v>192</v>
      </c>
      <c r="E63">
        <v>91</v>
      </c>
      <c r="F63">
        <v>100</v>
      </c>
      <c r="G63">
        <v>31</v>
      </c>
      <c r="H63">
        <v>50</v>
      </c>
      <c r="I63">
        <v>714</v>
      </c>
      <c r="J63">
        <v>21.56</v>
      </c>
      <c r="K63">
        <v>9.5299999999999994</v>
      </c>
      <c r="L63">
        <v>0.28220000000000001</v>
      </c>
      <c r="M63">
        <v>3.7000000000000002E-3</v>
      </c>
      <c r="N63">
        <v>0.27829999999999999</v>
      </c>
      <c r="O63">
        <v>0.95720000000000005</v>
      </c>
      <c r="P63">
        <v>400.75</v>
      </c>
      <c r="Q63">
        <v>10835.22</v>
      </c>
      <c r="R63">
        <v>3.17</v>
      </c>
      <c r="S63">
        <v>50.48</v>
      </c>
      <c r="T63">
        <v>0.26190000000000002</v>
      </c>
      <c r="U63">
        <v>1.0382</v>
      </c>
      <c r="V63">
        <v>6.2733999999999996</v>
      </c>
      <c r="W63">
        <v>0.73380000000000001</v>
      </c>
      <c r="X63">
        <v>0.1154</v>
      </c>
      <c r="Y63">
        <v>0.93820000000000003</v>
      </c>
      <c r="Z63" s="2">
        <v>88.3</v>
      </c>
      <c r="AA63">
        <v>0</v>
      </c>
      <c r="AB63" s="2">
        <v>93</v>
      </c>
      <c r="AC63">
        <v>1</v>
      </c>
    </row>
    <row r="64" spans="1:29" x14ac:dyDescent="0.3">
      <c r="A64" s="1">
        <f t="shared" si="0"/>
        <v>63</v>
      </c>
      <c r="B64">
        <v>2</v>
      </c>
      <c r="C64">
        <v>1018.2</v>
      </c>
      <c r="D64">
        <v>188.7</v>
      </c>
      <c r="E64">
        <v>177.6</v>
      </c>
      <c r="F64">
        <v>200</v>
      </c>
      <c r="G64">
        <v>31</v>
      </c>
      <c r="H64">
        <v>70</v>
      </c>
      <c r="I64">
        <v>714</v>
      </c>
      <c r="J64">
        <v>26.58</v>
      </c>
      <c r="K64">
        <v>8.83</v>
      </c>
      <c r="L64">
        <v>0.30719999999999997</v>
      </c>
      <c r="M64">
        <v>5.7000000000000002E-3</v>
      </c>
      <c r="N64">
        <v>0.69359999999999999</v>
      </c>
      <c r="O64">
        <v>0.72899999999999998</v>
      </c>
      <c r="P64">
        <v>383.88</v>
      </c>
      <c r="Q64">
        <v>10796.09</v>
      </c>
      <c r="R64">
        <v>3.65</v>
      </c>
      <c r="S64">
        <v>60.52</v>
      </c>
      <c r="T64">
        <v>0.15479999999999999</v>
      </c>
      <c r="U64">
        <v>1.6407</v>
      </c>
      <c r="V64">
        <v>14.1502</v>
      </c>
      <c r="W64">
        <v>0.88439999999999996</v>
      </c>
      <c r="X64">
        <v>0.1186</v>
      </c>
      <c r="Y64">
        <v>1.9677</v>
      </c>
      <c r="Z64" s="2">
        <v>95.3</v>
      </c>
      <c r="AA64">
        <v>1</v>
      </c>
      <c r="AB64" s="2">
        <v>87.2</v>
      </c>
      <c r="AC64">
        <v>0</v>
      </c>
    </row>
    <row r="65" spans="1:29" x14ac:dyDescent="0.3">
      <c r="A65" s="1">
        <f t="shared" si="0"/>
        <v>64</v>
      </c>
      <c r="B65">
        <v>3</v>
      </c>
      <c r="C65">
        <v>757.9</v>
      </c>
      <c r="D65">
        <v>172.9</v>
      </c>
      <c r="E65">
        <v>249</v>
      </c>
      <c r="F65">
        <v>300</v>
      </c>
      <c r="G65">
        <v>10</v>
      </c>
      <c r="H65">
        <v>40</v>
      </c>
      <c r="I65">
        <v>712</v>
      </c>
      <c r="J65">
        <v>31.2</v>
      </c>
      <c r="K65">
        <v>16.600000000000001</v>
      </c>
      <c r="L65">
        <v>0.25069999999999998</v>
      </c>
      <c r="M65">
        <v>0</v>
      </c>
      <c r="N65">
        <v>0.73629999999999995</v>
      </c>
      <c r="O65">
        <v>0.69730000000000003</v>
      </c>
      <c r="P65">
        <v>351.48</v>
      </c>
      <c r="Q65">
        <v>7811.43</v>
      </c>
      <c r="R65">
        <v>3.79</v>
      </c>
      <c r="S65">
        <v>28.69</v>
      </c>
      <c r="T65">
        <v>0.1777</v>
      </c>
      <c r="U65">
        <v>1.4837</v>
      </c>
      <c r="V65">
        <v>10.4697</v>
      </c>
      <c r="W65">
        <v>0.86499999999999999</v>
      </c>
      <c r="X65">
        <v>5.6599999999999998E-2</v>
      </c>
      <c r="Y65">
        <v>1.927</v>
      </c>
      <c r="Z65" s="2">
        <v>83.8</v>
      </c>
      <c r="AA65">
        <v>0</v>
      </c>
      <c r="AB65" s="2">
        <v>87.9</v>
      </c>
      <c r="AC65">
        <v>0</v>
      </c>
    </row>
    <row r="66" spans="1:29" x14ac:dyDescent="0.3">
      <c r="A66" s="1">
        <f t="shared" si="0"/>
        <v>65</v>
      </c>
      <c r="B66">
        <v>3</v>
      </c>
      <c r="C66">
        <v>517.20000000000005</v>
      </c>
      <c r="D66">
        <v>72</v>
      </c>
      <c r="E66">
        <v>64.7</v>
      </c>
      <c r="F66">
        <v>60</v>
      </c>
      <c r="G66">
        <v>17</v>
      </c>
      <c r="H66">
        <v>22</v>
      </c>
      <c r="I66">
        <v>188</v>
      </c>
      <c r="J66">
        <v>26.51</v>
      </c>
      <c r="K66">
        <v>15.46</v>
      </c>
      <c r="L66">
        <v>0.1958</v>
      </c>
      <c r="M66">
        <v>0</v>
      </c>
      <c r="N66">
        <v>0.1535</v>
      </c>
      <c r="O66">
        <v>0.72899999999999998</v>
      </c>
      <c r="P66">
        <v>442.9</v>
      </c>
      <c r="Q66">
        <v>2346.6799999999998</v>
      </c>
      <c r="R66">
        <v>2.48</v>
      </c>
      <c r="S66">
        <v>45.07</v>
      </c>
      <c r="T66">
        <v>0.2414</v>
      </c>
      <c r="U66">
        <v>0.87519999999999998</v>
      </c>
      <c r="V66">
        <v>2.0179999999999998</v>
      </c>
      <c r="W66">
        <v>0.58309999999999995</v>
      </c>
      <c r="X66">
        <v>6.4600000000000005E-2</v>
      </c>
      <c r="Y66">
        <v>0.64470000000000005</v>
      </c>
      <c r="Z66" s="2">
        <v>87.7</v>
      </c>
      <c r="AA66">
        <v>0</v>
      </c>
      <c r="AB66" s="2">
        <v>94.5</v>
      </c>
      <c r="AC66">
        <v>1</v>
      </c>
    </row>
    <row r="67" spans="1:29" x14ac:dyDescent="0.3">
      <c r="A67" s="1">
        <f t="shared" si="0"/>
        <v>66</v>
      </c>
      <c r="B67">
        <v>3</v>
      </c>
      <c r="C67">
        <v>709.7</v>
      </c>
      <c r="D67">
        <v>167.9</v>
      </c>
      <c r="E67">
        <v>221.6</v>
      </c>
      <c r="F67">
        <v>280</v>
      </c>
      <c r="G67">
        <v>6</v>
      </c>
      <c r="H67">
        <v>33</v>
      </c>
      <c r="I67">
        <v>712</v>
      </c>
      <c r="J67">
        <v>36.39</v>
      </c>
      <c r="K67">
        <v>17.46</v>
      </c>
      <c r="L67">
        <v>0.26629999999999998</v>
      </c>
      <c r="M67">
        <v>0</v>
      </c>
      <c r="N67">
        <v>0.70479999999999998</v>
      </c>
      <c r="O67">
        <v>0.77780000000000005</v>
      </c>
      <c r="P67">
        <v>320.02</v>
      </c>
      <c r="Q67">
        <v>8839.2900000000009</v>
      </c>
      <c r="R67">
        <v>3.99</v>
      </c>
      <c r="S67">
        <v>29.91</v>
      </c>
      <c r="T67">
        <v>0.17180000000000001</v>
      </c>
      <c r="U67">
        <v>1.41</v>
      </c>
      <c r="V67">
        <v>9.2249999999999996</v>
      </c>
      <c r="W67">
        <v>0.84209999999999996</v>
      </c>
      <c r="X67">
        <v>6.2799999999999995E-2</v>
      </c>
      <c r="Y67">
        <v>1.7710999999999999</v>
      </c>
      <c r="Z67" s="2">
        <v>93.5</v>
      </c>
      <c r="AA67">
        <v>1</v>
      </c>
      <c r="AB67" s="2">
        <v>90.5</v>
      </c>
      <c r="AC67">
        <v>1</v>
      </c>
    </row>
    <row r="68" spans="1:29" x14ac:dyDescent="0.3">
      <c r="A68" s="1">
        <f t="shared" ref="A68:A131" si="1">A67+1</f>
        <v>67</v>
      </c>
      <c r="B68">
        <v>3</v>
      </c>
      <c r="C68">
        <v>696.8</v>
      </c>
      <c r="D68">
        <v>168.6</v>
      </c>
      <c r="E68">
        <v>215.7</v>
      </c>
      <c r="F68">
        <v>280</v>
      </c>
      <c r="G68">
        <v>6</v>
      </c>
      <c r="H68">
        <v>33</v>
      </c>
      <c r="I68">
        <v>712</v>
      </c>
      <c r="J68">
        <v>37.020000000000003</v>
      </c>
      <c r="K68">
        <v>16.420000000000002</v>
      </c>
      <c r="L68">
        <v>0.25219999999999998</v>
      </c>
      <c r="M68">
        <v>0</v>
      </c>
      <c r="N68">
        <v>0.70399999999999996</v>
      </c>
      <c r="O68">
        <v>0.74760000000000004</v>
      </c>
      <c r="P68">
        <v>314.97000000000003</v>
      </c>
      <c r="Q68">
        <v>8465.44</v>
      </c>
      <c r="R68">
        <v>3.94</v>
      </c>
      <c r="S68">
        <v>30.05</v>
      </c>
      <c r="T68">
        <v>0.17899999999999999</v>
      </c>
      <c r="U68">
        <v>1.4091</v>
      </c>
      <c r="V68">
        <v>8.7530000000000001</v>
      </c>
      <c r="W68">
        <v>0.83689999999999998</v>
      </c>
      <c r="X68">
        <v>5.8700000000000002E-2</v>
      </c>
      <c r="Y68">
        <v>1.8050999999999999</v>
      </c>
      <c r="Z68" s="2">
        <v>86.7</v>
      </c>
      <c r="AA68">
        <v>0</v>
      </c>
      <c r="AB68" s="2">
        <v>92.6</v>
      </c>
      <c r="AC68">
        <v>1</v>
      </c>
    </row>
    <row r="69" spans="1:29" x14ac:dyDescent="0.3">
      <c r="A69" s="1">
        <f t="shared" si="1"/>
        <v>68</v>
      </c>
      <c r="B69">
        <v>2</v>
      </c>
      <c r="C69">
        <v>909.7</v>
      </c>
      <c r="D69">
        <v>298.7</v>
      </c>
      <c r="E69">
        <v>214.8</v>
      </c>
      <c r="F69">
        <v>235</v>
      </c>
      <c r="G69">
        <v>18</v>
      </c>
      <c r="H69">
        <v>64</v>
      </c>
      <c r="I69">
        <v>716</v>
      </c>
      <c r="J69">
        <v>26.34</v>
      </c>
      <c r="K69">
        <v>8.5500000000000007</v>
      </c>
      <c r="L69">
        <v>0.2883</v>
      </c>
      <c r="M69">
        <v>3.8999999999999998E-3</v>
      </c>
      <c r="N69">
        <v>0.73750000000000004</v>
      </c>
      <c r="O69">
        <v>0.86499999999999999</v>
      </c>
      <c r="P69">
        <v>289.57</v>
      </c>
      <c r="Q69">
        <v>8510.52</v>
      </c>
      <c r="R69">
        <v>2.31</v>
      </c>
      <c r="S69">
        <v>64.39</v>
      </c>
      <c r="T69">
        <v>0.1646</v>
      </c>
      <c r="U69">
        <v>1.0046999999999999</v>
      </c>
      <c r="V69">
        <v>13.4139</v>
      </c>
      <c r="W69">
        <v>0.87829999999999997</v>
      </c>
      <c r="X69">
        <v>0.1081</v>
      </c>
      <c r="Y69">
        <v>3.3422999999999998</v>
      </c>
      <c r="Z69" s="2">
        <v>92.5</v>
      </c>
      <c r="AA69">
        <v>1</v>
      </c>
      <c r="AB69" s="2">
        <v>83.5</v>
      </c>
      <c r="AC69">
        <v>0</v>
      </c>
    </row>
    <row r="70" spans="1:29" x14ac:dyDescent="0.3">
      <c r="A70" s="1">
        <f t="shared" si="1"/>
        <v>69</v>
      </c>
      <c r="B70">
        <v>2</v>
      </c>
      <c r="C70">
        <v>587.6</v>
      </c>
      <c r="D70">
        <v>206.4</v>
      </c>
      <c r="E70">
        <v>238.9</v>
      </c>
      <c r="F70">
        <v>270</v>
      </c>
      <c r="G70">
        <v>18</v>
      </c>
      <c r="H70">
        <v>71</v>
      </c>
      <c r="I70">
        <v>716</v>
      </c>
      <c r="J70">
        <v>43.35</v>
      </c>
      <c r="K70">
        <v>20.28</v>
      </c>
      <c r="L70">
        <v>0.20930000000000001</v>
      </c>
      <c r="M70">
        <v>1.8E-3</v>
      </c>
      <c r="N70">
        <v>0.99660000000000004</v>
      </c>
      <c r="O70">
        <v>0.94599999999999995</v>
      </c>
      <c r="P70">
        <v>263.95999999999998</v>
      </c>
      <c r="Q70">
        <v>8088.95</v>
      </c>
      <c r="R70">
        <v>3.32</v>
      </c>
      <c r="S70">
        <v>19.86</v>
      </c>
      <c r="T70">
        <v>0.23139999999999999</v>
      </c>
      <c r="U70">
        <v>1.0770999999999999</v>
      </c>
      <c r="V70">
        <v>11.6122</v>
      </c>
      <c r="W70">
        <v>0.79569999999999996</v>
      </c>
      <c r="X70">
        <v>7.3899999999999993E-2</v>
      </c>
      <c r="Y70">
        <v>2.9636999999999998</v>
      </c>
      <c r="Z70" s="2">
        <v>89.9</v>
      </c>
      <c r="AA70">
        <v>0</v>
      </c>
      <c r="AB70" s="2">
        <v>84</v>
      </c>
      <c r="AC70">
        <v>0</v>
      </c>
    </row>
    <row r="71" spans="1:29" x14ac:dyDescent="0.3">
      <c r="A71" s="1">
        <f t="shared" si="1"/>
        <v>70</v>
      </c>
      <c r="B71">
        <v>3</v>
      </c>
      <c r="C71">
        <v>565.79999999999995</v>
      </c>
      <c r="D71">
        <v>162.9</v>
      </c>
      <c r="E71">
        <v>264.39999999999998</v>
      </c>
      <c r="F71">
        <v>290</v>
      </c>
      <c r="G71">
        <v>10</v>
      </c>
      <c r="H71">
        <v>38</v>
      </c>
      <c r="I71">
        <v>712</v>
      </c>
      <c r="J71">
        <v>47.2</v>
      </c>
      <c r="K71">
        <v>24.03</v>
      </c>
      <c r="L71">
        <v>0.24129999999999999</v>
      </c>
      <c r="M71">
        <v>0</v>
      </c>
      <c r="N71">
        <v>0.7268</v>
      </c>
      <c r="O71">
        <v>0.69779999999999998</v>
      </c>
      <c r="P71">
        <v>286.69</v>
      </c>
      <c r="Q71">
        <v>5859.16</v>
      </c>
      <c r="R71">
        <v>4.16</v>
      </c>
      <c r="S71">
        <v>11.42</v>
      </c>
      <c r="T71">
        <v>0.18970000000000001</v>
      </c>
      <c r="U71">
        <v>1.2794000000000001</v>
      </c>
      <c r="V71">
        <v>8.6590000000000007</v>
      </c>
      <c r="W71">
        <v>0.81710000000000005</v>
      </c>
      <c r="X71">
        <v>5.2699999999999997E-2</v>
      </c>
      <c r="Y71">
        <v>1.7823</v>
      </c>
      <c r="Z71" s="2">
        <v>91.9</v>
      </c>
      <c r="AA71">
        <v>1</v>
      </c>
      <c r="AB71" s="2">
        <v>94.5</v>
      </c>
      <c r="AC71">
        <v>1</v>
      </c>
    </row>
    <row r="72" spans="1:29" x14ac:dyDescent="0.3">
      <c r="A72" s="1">
        <f t="shared" si="1"/>
        <v>71</v>
      </c>
      <c r="B72">
        <v>3</v>
      </c>
      <c r="C72">
        <v>564.20000000000005</v>
      </c>
      <c r="D72">
        <v>161.6</v>
      </c>
      <c r="E72">
        <v>274.5</v>
      </c>
      <c r="F72">
        <v>280</v>
      </c>
      <c r="G72">
        <v>11</v>
      </c>
      <c r="H72">
        <v>38</v>
      </c>
      <c r="I72">
        <v>712</v>
      </c>
      <c r="J72">
        <v>46.67</v>
      </c>
      <c r="K72">
        <v>24.29</v>
      </c>
      <c r="L72">
        <v>0.2306</v>
      </c>
      <c r="M72">
        <v>0</v>
      </c>
      <c r="N72">
        <v>0.72860000000000003</v>
      </c>
      <c r="O72">
        <v>0.70489999999999997</v>
      </c>
      <c r="P72">
        <v>287.8</v>
      </c>
      <c r="Q72">
        <v>6302.67</v>
      </c>
      <c r="R72">
        <v>4.2300000000000004</v>
      </c>
      <c r="S72">
        <v>12.82</v>
      </c>
      <c r="T72">
        <v>0.19309999999999999</v>
      </c>
      <c r="U72">
        <v>1.2949999999999999</v>
      </c>
      <c r="V72">
        <v>8.2599</v>
      </c>
      <c r="W72">
        <v>0.82469999999999999</v>
      </c>
      <c r="X72">
        <v>5.0999999999999997E-2</v>
      </c>
      <c r="Y72">
        <v>1.7661</v>
      </c>
      <c r="Z72" s="2">
        <v>83.4</v>
      </c>
      <c r="AA72">
        <v>0</v>
      </c>
      <c r="AB72" s="2">
        <v>86.2</v>
      </c>
      <c r="AC72">
        <v>0</v>
      </c>
    </row>
    <row r="73" spans="1:29" x14ac:dyDescent="0.3">
      <c r="A73" s="1">
        <f t="shared" si="1"/>
        <v>72</v>
      </c>
      <c r="B73">
        <v>3</v>
      </c>
      <c r="C73">
        <v>605.70000000000005</v>
      </c>
      <c r="D73">
        <v>162.9</v>
      </c>
      <c r="E73">
        <v>194.8</v>
      </c>
      <c r="F73">
        <v>220</v>
      </c>
      <c r="G73">
        <v>15</v>
      </c>
      <c r="H73">
        <v>36</v>
      </c>
      <c r="I73">
        <v>712</v>
      </c>
      <c r="J73">
        <v>40.020000000000003</v>
      </c>
      <c r="K73">
        <v>21.44</v>
      </c>
      <c r="L73">
        <v>0.26479999999999998</v>
      </c>
      <c r="M73">
        <v>0</v>
      </c>
      <c r="N73">
        <v>0.79400000000000004</v>
      </c>
      <c r="O73">
        <v>0.72899999999999998</v>
      </c>
      <c r="P73">
        <v>292.97000000000003</v>
      </c>
      <c r="Q73">
        <v>7309.27</v>
      </c>
      <c r="R73">
        <v>4.18</v>
      </c>
      <c r="S73">
        <v>16.79</v>
      </c>
      <c r="T73">
        <v>0.2011</v>
      </c>
      <c r="U73">
        <v>1.4075</v>
      </c>
      <c r="V73">
        <v>7.7870999999999997</v>
      </c>
      <c r="W73">
        <v>0.8327</v>
      </c>
      <c r="X73">
        <v>6.0100000000000001E-2</v>
      </c>
      <c r="Y73">
        <v>1.929</v>
      </c>
      <c r="Z73" s="2">
        <v>87.6</v>
      </c>
      <c r="AA73">
        <v>0</v>
      </c>
      <c r="AB73" s="2">
        <v>82.7</v>
      </c>
      <c r="AC73">
        <v>0</v>
      </c>
    </row>
    <row r="74" spans="1:29" x14ac:dyDescent="0.3">
      <c r="A74" s="1">
        <f t="shared" si="1"/>
        <v>73</v>
      </c>
      <c r="B74">
        <v>3</v>
      </c>
      <c r="C74">
        <v>595</v>
      </c>
      <c r="D74">
        <v>159.9</v>
      </c>
      <c r="E74">
        <v>238.9</v>
      </c>
      <c r="F74">
        <v>300</v>
      </c>
      <c r="G74">
        <v>2</v>
      </c>
      <c r="H74">
        <v>31</v>
      </c>
      <c r="I74">
        <v>712</v>
      </c>
      <c r="J74">
        <v>42.42</v>
      </c>
      <c r="K74">
        <v>18.649999999999999</v>
      </c>
      <c r="L74">
        <v>0.22489999999999999</v>
      </c>
      <c r="M74">
        <v>0</v>
      </c>
      <c r="N74">
        <v>0.80910000000000004</v>
      </c>
      <c r="O74">
        <v>0.71050000000000002</v>
      </c>
      <c r="P74">
        <v>283.83</v>
      </c>
      <c r="Q74">
        <v>6063.71</v>
      </c>
      <c r="R74">
        <v>4.3499999999999996</v>
      </c>
      <c r="S74">
        <v>10.47</v>
      </c>
      <c r="T74">
        <v>0.22750000000000001</v>
      </c>
      <c r="U74">
        <v>1.3605</v>
      </c>
      <c r="V74">
        <v>7.4775</v>
      </c>
      <c r="W74">
        <v>0.81169999999999998</v>
      </c>
      <c r="X74">
        <v>4.7300000000000002E-2</v>
      </c>
      <c r="Y74">
        <v>1.8624000000000001</v>
      </c>
      <c r="Z74" s="2">
        <v>82.3</v>
      </c>
      <c r="AA74">
        <v>0</v>
      </c>
      <c r="AB74" s="2">
        <v>81.5</v>
      </c>
      <c r="AC74">
        <v>0</v>
      </c>
    </row>
    <row r="75" spans="1:29" x14ac:dyDescent="0.3">
      <c r="A75" s="1">
        <f t="shared" si="1"/>
        <v>74</v>
      </c>
      <c r="B75">
        <v>2</v>
      </c>
      <c r="C75">
        <v>922.4</v>
      </c>
      <c r="D75">
        <v>184.5</v>
      </c>
      <c r="E75">
        <v>206.4</v>
      </c>
      <c r="F75">
        <v>240</v>
      </c>
      <c r="G75">
        <v>21</v>
      </c>
      <c r="H75">
        <v>68</v>
      </c>
      <c r="I75">
        <v>712</v>
      </c>
      <c r="J75">
        <v>25.02</v>
      </c>
      <c r="K75">
        <v>9.35</v>
      </c>
      <c r="L75">
        <v>0.28689999999999999</v>
      </c>
      <c r="M75">
        <v>6.0000000000000001E-3</v>
      </c>
      <c r="N75">
        <v>0.57069999999999999</v>
      </c>
      <c r="O75">
        <v>0.74260000000000004</v>
      </c>
      <c r="P75">
        <v>398.27</v>
      </c>
      <c r="Q75">
        <v>11784.19</v>
      </c>
      <c r="R75">
        <v>3.53</v>
      </c>
      <c r="S75">
        <v>56.61</v>
      </c>
      <c r="T75">
        <v>0.15820000000000001</v>
      </c>
      <c r="U75">
        <v>1.5208999999999999</v>
      </c>
      <c r="V75">
        <v>15.704800000000001</v>
      </c>
      <c r="W75">
        <v>0.85850000000000004</v>
      </c>
      <c r="X75">
        <v>0.106</v>
      </c>
      <c r="Y75">
        <v>1.7034</v>
      </c>
      <c r="Z75" s="2">
        <v>95.3</v>
      </c>
      <c r="AA75">
        <v>1</v>
      </c>
      <c r="AB75" s="2">
        <v>95.3</v>
      </c>
      <c r="AC75">
        <v>1</v>
      </c>
    </row>
    <row r="76" spans="1:29" x14ac:dyDescent="0.3">
      <c r="A76" s="1">
        <f t="shared" si="1"/>
        <v>75</v>
      </c>
      <c r="B76">
        <v>2</v>
      </c>
      <c r="C76">
        <v>853.1</v>
      </c>
      <c r="D76">
        <v>180.5</v>
      </c>
      <c r="E76">
        <v>198.7</v>
      </c>
      <c r="F76">
        <v>235</v>
      </c>
      <c r="G76">
        <v>21</v>
      </c>
      <c r="H76">
        <v>67</v>
      </c>
      <c r="I76">
        <v>712</v>
      </c>
      <c r="J76">
        <v>25.94</v>
      </c>
      <c r="K76">
        <v>9.51</v>
      </c>
      <c r="L76">
        <v>0.27500000000000002</v>
      </c>
      <c r="M76">
        <v>5.3E-3</v>
      </c>
      <c r="N76">
        <v>0.62639999999999996</v>
      </c>
      <c r="O76">
        <v>0.7742</v>
      </c>
      <c r="P76">
        <v>379.95</v>
      </c>
      <c r="Q76">
        <v>11280.14</v>
      </c>
      <c r="R76">
        <v>3.59</v>
      </c>
      <c r="S76">
        <v>43.91</v>
      </c>
      <c r="T76">
        <v>0.1739</v>
      </c>
      <c r="U76">
        <v>1.4059999999999999</v>
      </c>
      <c r="V76">
        <v>14.435700000000001</v>
      </c>
      <c r="W76">
        <v>0.85140000000000005</v>
      </c>
      <c r="X76">
        <v>0.1003</v>
      </c>
      <c r="Y76">
        <v>1.8178000000000001</v>
      </c>
      <c r="Z76" s="2">
        <v>95.9</v>
      </c>
      <c r="AA76">
        <v>1</v>
      </c>
      <c r="AB76" s="2">
        <v>97.2</v>
      </c>
      <c r="AC76">
        <v>1</v>
      </c>
    </row>
    <row r="77" spans="1:29" x14ac:dyDescent="0.3">
      <c r="A77" s="1">
        <f t="shared" si="1"/>
        <v>76</v>
      </c>
      <c r="B77">
        <v>2</v>
      </c>
      <c r="C77">
        <v>1416</v>
      </c>
      <c r="D77">
        <v>275.2</v>
      </c>
      <c r="E77">
        <v>211.4</v>
      </c>
      <c r="F77">
        <v>265</v>
      </c>
      <c r="G77">
        <v>14</v>
      </c>
      <c r="H77">
        <v>71</v>
      </c>
      <c r="I77">
        <v>1064</v>
      </c>
      <c r="J77">
        <v>19.93</v>
      </c>
      <c r="K77">
        <v>7.02</v>
      </c>
      <c r="L77">
        <v>0.32700000000000001</v>
      </c>
      <c r="M77">
        <v>9.7000000000000003E-3</v>
      </c>
      <c r="N77">
        <v>0.65400000000000003</v>
      </c>
      <c r="O77">
        <v>0.84370000000000001</v>
      </c>
      <c r="P77">
        <v>389.96</v>
      </c>
      <c r="Q77">
        <v>11177.87</v>
      </c>
      <c r="R77">
        <v>3.56</v>
      </c>
      <c r="S77">
        <v>46.58</v>
      </c>
      <c r="T77">
        <v>0.1123</v>
      </c>
      <c r="U77">
        <v>1.4657</v>
      </c>
      <c r="V77">
        <v>18.700500000000002</v>
      </c>
      <c r="W77">
        <v>0.89900000000000002</v>
      </c>
      <c r="X77">
        <v>0.1244</v>
      </c>
      <c r="Y77">
        <v>1.8456999999999999</v>
      </c>
      <c r="Z77" s="2">
        <v>92.2</v>
      </c>
      <c r="AA77">
        <v>1</v>
      </c>
      <c r="AB77" s="2">
        <v>90.8</v>
      </c>
      <c r="AC77">
        <v>1</v>
      </c>
    </row>
    <row r="78" spans="1:29" x14ac:dyDescent="0.3">
      <c r="A78" s="1">
        <f t="shared" si="1"/>
        <v>77</v>
      </c>
      <c r="B78">
        <v>2</v>
      </c>
      <c r="C78">
        <v>636.9</v>
      </c>
      <c r="D78">
        <v>162.6</v>
      </c>
      <c r="E78">
        <v>106.8</v>
      </c>
      <c r="F78">
        <v>115</v>
      </c>
      <c r="G78">
        <v>30</v>
      </c>
      <c r="H78">
        <v>52</v>
      </c>
      <c r="I78">
        <v>712</v>
      </c>
      <c r="J78">
        <v>25.76</v>
      </c>
      <c r="K78">
        <v>13.42</v>
      </c>
      <c r="L78">
        <v>0.24979999999999999</v>
      </c>
      <c r="M78">
        <v>2.5000000000000001E-3</v>
      </c>
      <c r="N78">
        <v>0.40529999999999999</v>
      </c>
      <c r="O78">
        <v>0.90849999999999997</v>
      </c>
      <c r="P78">
        <v>322.10000000000002</v>
      </c>
      <c r="Q78">
        <v>7020.33</v>
      </c>
      <c r="R78">
        <v>4.22</v>
      </c>
      <c r="S78">
        <v>11.91</v>
      </c>
      <c r="T78">
        <v>0.25929999999999997</v>
      </c>
      <c r="U78">
        <v>0.98350000000000004</v>
      </c>
      <c r="V78">
        <v>6.8422999999999998</v>
      </c>
      <c r="W78">
        <v>0.72850000000000004</v>
      </c>
      <c r="X78">
        <v>9.6500000000000002E-2</v>
      </c>
      <c r="Y78">
        <v>1.012</v>
      </c>
      <c r="Z78" s="2">
        <v>95.9</v>
      </c>
      <c r="AA78">
        <v>1</v>
      </c>
      <c r="AB78" s="2">
        <v>91.2</v>
      </c>
      <c r="AC78">
        <v>1</v>
      </c>
    </row>
    <row r="79" spans="1:29" x14ac:dyDescent="0.3">
      <c r="A79" s="1">
        <f t="shared" si="1"/>
        <v>78</v>
      </c>
      <c r="B79">
        <v>1</v>
      </c>
      <c r="C79">
        <v>678.8</v>
      </c>
      <c r="D79">
        <v>168.2</v>
      </c>
      <c r="E79">
        <v>157.80000000000001</v>
      </c>
      <c r="F79">
        <v>90</v>
      </c>
      <c r="G79">
        <v>31</v>
      </c>
      <c r="H79">
        <v>48</v>
      </c>
      <c r="I79">
        <v>712</v>
      </c>
      <c r="J79">
        <v>24.92</v>
      </c>
      <c r="K79">
        <v>12.11</v>
      </c>
      <c r="L79">
        <v>0.29659999999999997</v>
      </c>
      <c r="M79">
        <v>5.7000000000000002E-3</v>
      </c>
      <c r="N79">
        <v>0.58109999999999995</v>
      </c>
      <c r="O79">
        <v>0.80759999999999998</v>
      </c>
      <c r="P79">
        <v>332.7</v>
      </c>
      <c r="Q79">
        <v>5299.61</v>
      </c>
      <c r="R79">
        <v>4.0599999999999996</v>
      </c>
      <c r="S79">
        <v>20.07</v>
      </c>
      <c r="T79">
        <v>0.216</v>
      </c>
      <c r="U79">
        <v>1.1325000000000001</v>
      </c>
      <c r="V79">
        <v>6.8223000000000003</v>
      </c>
      <c r="W79">
        <v>0.82799999999999996</v>
      </c>
      <c r="X79">
        <v>0.13120000000000001</v>
      </c>
      <c r="Y79">
        <v>1.5548</v>
      </c>
      <c r="Z79" s="2">
        <v>99</v>
      </c>
      <c r="AA79">
        <v>1</v>
      </c>
      <c r="AB79" s="2">
        <v>97.5</v>
      </c>
      <c r="AC79">
        <v>1</v>
      </c>
    </row>
    <row r="80" spans="1:29" x14ac:dyDescent="0.3">
      <c r="A80" s="1">
        <f t="shared" si="1"/>
        <v>79</v>
      </c>
      <c r="B80">
        <v>2</v>
      </c>
      <c r="C80">
        <v>630.20000000000005</v>
      </c>
      <c r="D80">
        <v>165.8</v>
      </c>
      <c r="E80">
        <v>84.2</v>
      </c>
      <c r="F80">
        <v>95</v>
      </c>
      <c r="G80">
        <v>31</v>
      </c>
      <c r="H80">
        <v>49</v>
      </c>
      <c r="I80">
        <v>712</v>
      </c>
      <c r="J80">
        <v>21.73</v>
      </c>
      <c r="K80">
        <v>11.49</v>
      </c>
      <c r="L80">
        <v>0.2253</v>
      </c>
      <c r="M80">
        <v>5.3E-3</v>
      </c>
      <c r="N80">
        <v>0.32040000000000002</v>
      </c>
      <c r="O80">
        <v>1.0104</v>
      </c>
      <c r="P80">
        <v>350.9</v>
      </c>
      <c r="Q80">
        <v>5884.36</v>
      </c>
      <c r="R80">
        <v>4.04</v>
      </c>
      <c r="S80">
        <v>13.61</v>
      </c>
      <c r="T80">
        <v>0.27850000000000003</v>
      </c>
      <c r="U80">
        <v>0.79369999999999996</v>
      </c>
      <c r="V80">
        <v>5.2427000000000001</v>
      </c>
      <c r="W80">
        <v>0.73609999999999998</v>
      </c>
      <c r="X80">
        <v>9.6699999999999994E-2</v>
      </c>
      <c r="Y80">
        <v>0.83250000000000002</v>
      </c>
      <c r="Z80" s="2">
        <v>97.5</v>
      </c>
      <c r="AA80">
        <v>1</v>
      </c>
      <c r="AB80" s="2">
        <v>92.1</v>
      </c>
      <c r="AC80">
        <v>1</v>
      </c>
    </row>
    <row r="81" spans="1:29" x14ac:dyDescent="0.3">
      <c r="A81" s="1">
        <f t="shared" si="1"/>
        <v>80</v>
      </c>
      <c r="B81">
        <v>2</v>
      </c>
      <c r="C81">
        <v>967.5</v>
      </c>
      <c r="D81">
        <v>227.2</v>
      </c>
      <c r="E81">
        <v>215.7</v>
      </c>
      <c r="F81">
        <v>245</v>
      </c>
      <c r="G81">
        <v>30</v>
      </c>
      <c r="H81">
        <v>78</v>
      </c>
      <c r="I81">
        <v>712</v>
      </c>
      <c r="J81">
        <v>25.95</v>
      </c>
      <c r="K81">
        <v>9.81</v>
      </c>
      <c r="L81">
        <v>0.27879999999999999</v>
      </c>
      <c r="M81">
        <v>3.8999999999999998E-3</v>
      </c>
      <c r="N81">
        <v>0.80630000000000002</v>
      </c>
      <c r="O81">
        <v>0.76949999999999996</v>
      </c>
      <c r="P81">
        <v>357.44</v>
      </c>
      <c r="Q81">
        <v>12253.84</v>
      </c>
      <c r="R81">
        <v>2.96</v>
      </c>
      <c r="S81">
        <v>29.81</v>
      </c>
      <c r="T81">
        <v>0.16830000000000001</v>
      </c>
      <c r="U81">
        <v>1.238</v>
      </c>
      <c r="V81">
        <v>15.7014</v>
      </c>
      <c r="W81">
        <v>0.88580000000000003</v>
      </c>
      <c r="X81">
        <v>0.10489999999999999</v>
      </c>
      <c r="Y81">
        <v>2.8492000000000002</v>
      </c>
      <c r="Z81" s="2">
        <v>89.8</v>
      </c>
      <c r="AA81">
        <v>0</v>
      </c>
      <c r="AB81" s="2">
        <v>89.6</v>
      </c>
      <c r="AC81">
        <v>0</v>
      </c>
    </row>
    <row r="82" spans="1:29" x14ac:dyDescent="0.3">
      <c r="A82" s="1">
        <f t="shared" si="1"/>
        <v>81</v>
      </c>
      <c r="B82">
        <v>1</v>
      </c>
      <c r="C82">
        <v>665.1</v>
      </c>
      <c r="D82">
        <v>166.4</v>
      </c>
      <c r="E82">
        <v>157.1</v>
      </c>
      <c r="F82">
        <v>100</v>
      </c>
      <c r="G82">
        <v>31</v>
      </c>
      <c r="H82">
        <v>50</v>
      </c>
      <c r="I82">
        <v>712</v>
      </c>
      <c r="J82">
        <v>26.31</v>
      </c>
      <c r="K82">
        <v>13.87</v>
      </c>
      <c r="L82">
        <v>0.2838</v>
      </c>
      <c r="M82">
        <v>2.5000000000000001E-3</v>
      </c>
      <c r="N82">
        <v>0.5907</v>
      </c>
      <c r="O82">
        <v>0.78710000000000002</v>
      </c>
      <c r="P82">
        <v>330.84</v>
      </c>
      <c r="Q82">
        <v>6816.18</v>
      </c>
      <c r="R82">
        <v>4.12</v>
      </c>
      <c r="S82">
        <v>17.27</v>
      </c>
      <c r="T82">
        <v>0.2276</v>
      </c>
      <c r="U82">
        <v>1.1780999999999999</v>
      </c>
      <c r="V82">
        <v>7.1818</v>
      </c>
      <c r="W82">
        <v>0.81659999999999999</v>
      </c>
      <c r="X82">
        <v>0.125</v>
      </c>
      <c r="Y82">
        <v>1.5510999999999999</v>
      </c>
      <c r="Z82" s="2">
        <v>95.9</v>
      </c>
      <c r="AA82">
        <v>1</v>
      </c>
      <c r="AB82" s="2">
        <v>95.4</v>
      </c>
      <c r="AC82">
        <v>1</v>
      </c>
    </row>
    <row r="83" spans="1:29" x14ac:dyDescent="0.3">
      <c r="A83" s="1">
        <f t="shared" si="1"/>
        <v>82</v>
      </c>
      <c r="B83">
        <v>3</v>
      </c>
      <c r="C83">
        <v>563.79999999999995</v>
      </c>
      <c r="D83">
        <v>173.4</v>
      </c>
      <c r="E83">
        <v>251.7</v>
      </c>
      <c r="F83">
        <v>300</v>
      </c>
      <c r="G83">
        <v>3</v>
      </c>
      <c r="H83">
        <v>33</v>
      </c>
      <c r="I83">
        <v>712</v>
      </c>
      <c r="J83">
        <v>55.8</v>
      </c>
      <c r="K83">
        <v>29.13</v>
      </c>
      <c r="L83">
        <v>0.21099999999999999</v>
      </c>
      <c r="M83">
        <v>0</v>
      </c>
      <c r="N83">
        <v>0.79820000000000002</v>
      </c>
      <c r="O83">
        <v>0.63519999999999999</v>
      </c>
      <c r="P83">
        <v>273.45</v>
      </c>
      <c r="Q83">
        <v>6289.66</v>
      </c>
      <c r="R83">
        <v>3.99</v>
      </c>
      <c r="S83">
        <v>4.62</v>
      </c>
      <c r="T83">
        <v>0.25690000000000002</v>
      </c>
      <c r="U83">
        <v>1.2838000000000001</v>
      </c>
      <c r="V83">
        <v>7.9585999999999997</v>
      </c>
      <c r="W83">
        <v>0.74280000000000002</v>
      </c>
      <c r="X83">
        <v>4.2900000000000001E-2</v>
      </c>
      <c r="Y83">
        <v>2.0192999999999999</v>
      </c>
      <c r="Z83" s="2">
        <v>96.3</v>
      </c>
      <c r="AA83">
        <v>1</v>
      </c>
      <c r="AB83" s="2">
        <v>96.6</v>
      </c>
      <c r="AC83">
        <v>1</v>
      </c>
    </row>
    <row r="84" spans="1:29" x14ac:dyDescent="0.3">
      <c r="A84" s="1">
        <f t="shared" si="1"/>
        <v>83</v>
      </c>
      <c r="B84">
        <v>3</v>
      </c>
      <c r="C84">
        <v>1376.1</v>
      </c>
      <c r="D84">
        <v>220</v>
      </c>
      <c r="E84">
        <v>203.5</v>
      </c>
      <c r="F84">
        <v>200</v>
      </c>
      <c r="G84">
        <v>12</v>
      </c>
      <c r="H84">
        <v>31</v>
      </c>
      <c r="I84">
        <v>640</v>
      </c>
      <c r="J84">
        <v>52.83</v>
      </c>
      <c r="K84">
        <v>29.2</v>
      </c>
      <c r="L84">
        <v>0.2089</v>
      </c>
      <c r="M84">
        <v>0</v>
      </c>
      <c r="N84">
        <v>0.59389999999999998</v>
      </c>
      <c r="O84">
        <v>0.68630000000000002</v>
      </c>
      <c r="P84">
        <v>418.92</v>
      </c>
      <c r="Q84">
        <v>8416.0300000000007</v>
      </c>
      <c r="R84">
        <v>2.79</v>
      </c>
      <c r="S84">
        <v>28.68</v>
      </c>
      <c r="T84">
        <v>0.29220000000000002</v>
      </c>
      <c r="U84">
        <v>1.2262999999999999</v>
      </c>
      <c r="V84">
        <v>5.1375999999999999</v>
      </c>
      <c r="W84">
        <v>0.70269999999999999</v>
      </c>
      <c r="X84">
        <v>4.4999999999999998E-2</v>
      </c>
      <c r="Y84">
        <v>2.1253000000000002</v>
      </c>
      <c r="Z84" s="2">
        <v>99</v>
      </c>
      <c r="AA84">
        <v>1</v>
      </c>
      <c r="AB84" s="2">
        <v>96.2</v>
      </c>
      <c r="AC84">
        <v>1</v>
      </c>
    </row>
    <row r="85" spans="1:29" x14ac:dyDescent="0.3">
      <c r="A85" s="1">
        <f t="shared" si="1"/>
        <v>84</v>
      </c>
      <c r="B85">
        <v>1</v>
      </c>
      <c r="C85">
        <v>827.4</v>
      </c>
      <c r="D85">
        <v>172.9</v>
      </c>
      <c r="E85">
        <v>149.80000000000001</v>
      </c>
      <c r="F85">
        <v>115</v>
      </c>
      <c r="G85">
        <v>30</v>
      </c>
      <c r="H85">
        <v>52</v>
      </c>
      <c r="I85">
        <v>712</v>
      </c>
      <c r="J85">
        <v>24.07</v>
      </c>
      <c r="K85">
        <v>12.18</v>
      </c>
      <c r="L85">
        <v>0.25740000000000002</v>
      </c>
      <c r="M85">
        <v>4.1000000000000003E-3</v>
      </c>
      <c r="N85">
        <v>0.5726</v>
      </c>
      <c r="O85">
        <v>0.74750000000000005</v>
      </c>
      <c r="P85">
        <v>360.4</v>
      </c>
      <c r="Q85">
        <v>6481.52</v>
      </c>
      <c r="R85">
        <v>3.92</v>
      </c>
      <c r="S85">
        <v>21.27</v>
      </c>
      <c r="T85">
        <v>0.21079999999999999</v>
      </c>
      <c r="U85">
        <v>1.2585</v>
      </c>
      <c r="V85">
        <v>7.9871999999999996</v>
      </c>
      <c r="W85">
        <v>0.79969999999999997</v>
      </c>
      <c r="X85">
        <v>0.1109</v>
      </c>
      <c r="Y85">
        <v>1.6152</v>
      </c>
      <c r="Z85" s="2">
        <v>96.5</v>
      </c>
      <c r="AA85">
        <v>1</v>
      </c>
      <c r="AB85" s="2">
        <v>96.1</v>
      </c>
      <c r="AC85">
        <v>1</v>
      </c>
    </row>
    <row r="86" spans="1:29" x14ac:dyDescent="0.3">
      <c r="A86" s="1">
        <f t="shared" si="1"/>
        <v>85</v>
      </c>
      <c r="B86">
        <v>2</v>
      </c>
      <c r="C86">
        <v>865.5</v>
      </c>
      <c r="D86">
        <v>185.5</v>
      </c>
      <c r="E86">
        <v>96.7</v>
      </c>
      <c r="F86">
        <v>85</v>
      </c>
      <c r="G86">
        <v>32</v>
      </c>
      <c r="H86">
        <v>48</v>
      </c>
      <c r="I86">
        <v>712</v>
      </c>
      <c r="J86">
        <v>23.35</v>
      </c>
      <c r="K86">
        <v>13.06</v>
      </c>
      <c r="L86">
        <v>0.24529999999999999</v>
      </c>
      <c r="M86">
        <v>2.8E-3</v>
      </c>
      <c r="N86">
        <v>0.3135</v>
      </c>
      <c r="O86">
        <v>0.93189999999999995</v>
      </c>
      <c r="P86">
        <v>383.59</v>
      </c>
      <c r="Q86">
        <v>6295.44</v>
      </c>
      <c r="R86">
        <v>3.38</v>
      </c>
      <c r="S86">
        <v>24.94</v>
      </c>
      <c r="T86">
        <v>0.2838</v>
      </c>
      <c r="U86">
        <v>0.91339999999999999</v>
      </c>
      <c r="V86">
        <v>5.6313000000000004</v>
      </c>
      <c r="W86">
        <v>0.71089999999999998</v>
      </c>
      <c r="X86">
        <v>0.1075</v>
      </c>
      <c r="Y86">
        <v>0.97709999999999997</v>
      </c>
      <c r="Z86" s="2">
        <v>92</v>
      </c>
      <c r="AA86">
        <v>1</v>
      </c>
      <c r="AB86" s="2">
        <v>92</v>
      </c>
      <c r="AC86">
        <v>1</v>
      </c>
    </row>
    <row r="87" spans="1:29" x14ac:dyDescent="0.3">
      <c r="A87" s="1">
        <f t="shared" si="1"/>
        <v>86</v>
      </c>
      <c r="B87">
        <v>1</v>
      </c>
      <c r="C87">
        <v>931.2</v>
      </c>
      <c r="D87">
        <v>175.1</v>
      </c>
      <c r="E87">
        <v>180.6</v>
      </c>
      <c r="F87">
        <v>250</v>
      </c>
      <c r="G87">
        <v>29</v>
      </c>
      <c r="H87">
        <v>78</v>
      </c>
      <c r="I87">
        <v>712</v>
      </c>
      <c r="J87">
        <v>27.13</v>
      </c>
      <c r="K87">
        <v>9.93</v>
      </c>
      <c r="L87">
        <v>0.27129999999999999</v>
      </c>
      <c r="M87">
        <v>9.9000000000000008E-3</v>
      </c>
      <c r="N87">
        <v>0.67179999999999995</v>
      </c>
      <c r="O87">
        <v>0.6583</v>
      </c>
      <c r="P87">
        <v>379.16</v>
      </c>
      <c r="Q87">
        <v>6522.03</v>
      </c>
      <c r="R87">
        <v>3.86</v>
      </c>
      <c r="S87">
        <v>23.83</v>
      </c>
      <c r="T87">
        <v>0.1865</v>
      </c>
      <c r="U87">
        <v>1.3467</v>
      </c>
      <c r="V87">
        <v>15.591799999999999</v>
      </c>
      <c r="W87">
        <v>0.81589999999999996</v>
      </c>
      <c r="X87">
        <v>9.7000000000000003E-2</v>
      </c>
      <c r="Y87">
        <v>1.762</v>
      </c>
      <c r="Z87" s="2">
        <v>94.8</v>
      </c>
      <c r="AA87">
        <v>1</v>
      </c>
      <c r="AB87" s="2">
        <v>95.4</v>
      </c>
      <c r="AC87">
        <v>1</v>
      </c>
    </row>
    <row r="88" spans="1:29" x14ac:dyDescent="0.3">
      <c r="A88" s="1">
        <f t="shared" si="1"/>
        <v>87</v>
      </c>
      <c r="B88">
        <v>2</v>
      </c>
      <c r="C88">
        <v>616.29999999999995</v>
      </c>
      <c r="D88">
        <v>169.5</v>
      </c>
      <c r="E88">
        <v>108</v>
      </c>
      <c r="F88">
        <v>65</v>
      </c>
      <c r="G88">
        <v>32</v>
      </c>
      <c r="H88">
        <v>44</v>
      </c>
      <c r="I88">
        <v>712</v>
      </c>
      <c r="J88">
        <v>26.95</v>
      </c>
      <c r="K88">
        <v>13.84</v>
      </c>
      <c r="L88">
        <v>0.223</v>
      </c>
      <c r="M88">
        <v>8.0000000000000004E-4</v>
      </c>
      <c r="N88">
        <v>0.33650000000000002</v>
      </c>
      <c r="O88">
        <v>0.90590000000000004</v>
      </c>
      <c r="P88">
        <v>337</v>
      </c>
      <c r="Q88">
        <v>6333.19</v>
      </c>
      <c r="R88">
        <v>3.81</v>
      </c>
      <c r="S88">
        <v>14.9</v>
      </c>
      <c r="T88">
        <v>0.30349999999999999</v>
      </c>
      <c r="U88">
        <v>0.79659999999999997</v>
      </c>
      <c r="V88">
        <v>4.2184999999999997</v>
      </c>
      <c r="W88">
        <v>0.72409999999999997</v>
      </c>
      <c r="X88">
        <v>0.1095</v>
      </c>
      <c r="Y88">
        <v>0.89559999999999995</v>
      </c>
      <c r="Z88" s="2">
        <v>89.3</v>
      </c>
      <c r="AA88">
        <v>0</v>
      </c>
      <c r="AB88" s="2">
        <v>85</v>
      </c>
      <c r="AC88">
        <v>0</v>
      </c>
    </row>
    <row r="89" spans="1:29" x14ac:dyDescent="0.3">
      <c r="A89" s="1">
        <f t="shared" si="1"/>
        <v>88</v>
      </c>
      <c r="B89">
        <v>1</v>
      </c>
      <c r="C89">
        <v>533.20000000000005</v>
      </c>
      <c r="D89">
        <v>158.9</v>
      </c>
      <c r="E89">
        <v>137.9</v>
      </c>
      <c r="F89">
        <v>90</v>
      </c>
      <c r="G89">
        <v>30</v>
      </c>
      <c r="H89">
        <v>47</v>
      </c>
      <c r="I89">
        <v>712</v>
      </c>
      <c r="J89">
        <v>29.66</v>
      </c>
      <c r="K89">
        <v>18.71</v>
      </c>
      <c r="L89">
        <v>0.19689999999999999</v>
      </c>
      <c r="M89">
        <v>1.4E-3</v>
      </c>
      <c r="N89">
        <v>0.3785</v>
      </c>
      <c r="O89">
        <v>0.90080000000000005</v>
      </c>
      <c r="P89">
        <v>275.02</v>
      </c>
      <c r="Q89">
        <v>2818.05</v>
      </c>
      <c r="R89">
        <v>4.43</v>
      </c>
      <c r="S89">
        <v>5.33</v>
      </c>
      <c r="T89">
        <v>0.30909999999999999</v>
      </c>
      <c r="U89">
        <v>0.76160000000000005</v>
      </c>
      <c r="V89">
        <v>4.4423000000000004</v>
      </c>
      <c r="W89">
        <v>0.79120000000000001</v>
      </c>
      <c r="X89">
        <v>8.7800000000000003E-2</v>
      </c>
      <c r="Y89">
        <v>0.90539999999999998</v>
      </c>
      <c r="Z89" s="2">
        <v>97.9</v>
      </c>
      <c r="AA89">
        <v>1</v>
      </c>
      <c r="AB89" s="2">
        <v>94.4</v>
      </c>
      <c r="AC89">
        <v>1</v>
      </c>
    </row>
    <row r="90" spans="1:29" x14ac:dyDescent="0.3">
      <c r="A90" s="1">
        <f t="shared" si="1"/>
        <v>89</v>
      </c>
      <c r="B90">
        <v>2</v>
      </c>
      <c r="C90">
        <v>845</v>
      </c>
      <c r="D90">
        <v>175.6</v>
      </c>
      <c r="E90">
        <v>124</v>
      </c>
      <c r="F90">
        <v>120</v>
      </c>
      <c r="G90">
        <v>28</v>
      </c>
      <c r="H90">
        <v>51</v>
      </c>
      <c r="I90">
        <v>712</v>
      </c>
      <c r="J90">
        <v>20.21</v>
      </c>
      <c r="K90">
        <v>8.39</v>
      </c>
      <c r="L90">
        <v>0.2843</v>
      </c>
      <c r="M90">
        <v>6.0000000000000001E-3</v>
      </c>
      <c r="N90">
        <v>0.38440000000000002</v>
      </c>
      <c r="O90">
        <v>0.94079999999999997</v>
      </c>
      <c r="P90">
        <v>380.88</v>
      </c>
      <c r="Q90">
        <v>8394.98</v>
      </c>
      <c r="R90">
        <v>3.78</v>
      </c>
      <c r="S90">
        <v>31.06</v>
      </c>
      <c r="T90">
        <v>0.20569999999999999</v>
      </c>
      <c r="U90">
        <v>0.99439999999999995</v>
      </c>
      <c r="V90">
        <v>8.2055000000000007</v>
      </c>
      <c r="W90">
        <v>0.81210000000000004</v>
      </c>
      <c r="X90">
        <v>0.1153</v>
      </c>
      <c r="Y90">
        <v>1.0913999999999999</v>
      </c>
      <c r="Z90" s="2">
        <v>92.7</v>
      </c>
      <c r="AA90">
        <v>1</v>
      </c>
      <c r="AB90" s="2">
        <v>77.8</v>
      </c>
      <c r="AC90">
        <v>0</v>
      </c>
    </row>
    <row r="91" spans="1:29" x14ac:dyDescent="0.3">
      <c r="A91" s="1">
        <f t="shared" si="1"/>
        <v>90</v>
      </c>
      <c r="B91">
        <v>2</v>
      </c>
      <c r="C91">
        <v>554</v>
      </c>
      <c r="D91">
        <v>168.1</v>
      </c>
      <c r="E91">
        <v>73.900000000000006</v>
      </c>
      <c r="F91">
        <v>80</v>
      </c>
      <c r="G91">
        <v>31</v>
      </c>
      <c r="H91">
        <v>46</v>
      </c>
      <c r="I91">
        <v>712</v>
      </c>
      <c r="J91">
        <v>21.39</v>
      </c>
      <c r="K91">
        <v>10.77</v>
      </c>
      <c r="L91">
        <v>0.21920000000000001</v>
      </c>
      <c r="M91">
        <v>1.5E-3</v>
      </c>
      <c r="N91">
        <v>0.28339999999999999</v>
      </c>
      <c r="O91">
        <v>1.0298</v>
      </c>
      <c r="P91">
        <v>345.29</v>
      </c>
      <c r="Q91">
        <v>4737.63</v>
      </c>
      <c r="R91">
        <v>3.82</v>
      </c>
      <c r="S91">
        <v>14.38</v>
      </c>
      <c r="T91">
        <v>0.31359999999999999</v>
      </c>
      <c r="U91">
        <v>0.73899999999999999</v>
      </c>
      <c r="V91">
        <v>4.9947999999999997</v>
      </c>
      <c r="W91">
        <v>0.69869999999999999</v>
      </c>
      <c r="X91">
        <v>9.9500000000000005E-2</v>
      </c>
      <c r="Y91">
        <v>0.84630000000000005</v>
      </c>
      <c r="Z91" s="2">
        <v>95.8</v>
      </c>
      <c r="AA91">
        <v>1</v>
      </c>
      <c r="AB91" s="2">
        <v>72</v>
      </c>
      <c r="AC91">
        <v>0</v>
      </c>
    </row>
    <row r="92" spans="1:29" x14ac:dyDescent="0.3">
      <c r="A92" s="1">
        <f t="shared" si="1"/>
        <v>91</v>
      </c>
      <c r="B92">
        <v>2</v>
      </c>
      <c r="C92">
        <v>607.20000000000005</v>
      </c>
      <c r="D92">
        <v>164</v>
      </c>
      <c r="E92">
        <v>98.5</v>
      </c>
      <c r="F92">
        <v>100</v>
      </c>
      <c r="G92">
        <v>31</v>
      </c>
      <c r="H92">
        <v>50</v>
      </c>
      <c r="I92">
        <v>712</v>
      </c>
      <c r="J92">
        <v>25.03</v>
      </c>
      <c r="K92">
        <v>15.11</v>
      </c>
      <c r="L92">
        <v>0.21609999999999999</v>
      </c>
      <c r="M92">
        <v>1.1999999999999999E-3</v>
      </c>
      <c r="N92">
        <v>0.2878</v>
      </c>
      <c r="O92">
        <v>1.0669999999999999</v>
      </c>
      <c r="P92">
        <v>332.64</v>
      </c>
      <c r="Q92">
        <v>5567.69</v>
      </c>
      <c r="R92">
        <v>4.12</v>
      </c>
      <c r="S92">
        <v>8.11</v>
      </c>
      <c r="T92">
        <v>0.28110000000000002</v>
      </c>
      <c r="U92">
        <v>0.74339999999999995</v>
      </c>
      <c r="V92">
        <v>5.3403</v>
      </c>
      <c r="W92">
        <v>0.72089999999999999</v>
      </c>
      <c r="X92">
        <v>9.3399999999999997E-2</v>
      </c>
      <c r="Y92">
        <v>0.84850000000000003</v>
      </c>
      <c r="Z92" s="2">
        <v>97.9</v>
      </c>
      <c r="AA92">
        <v>1</v>
      </c>
      <c r="AB92" s="2">
        <v>95.8</v>
      </c>
      <c r="AC92">
        <v>1</v>
      </c>
    </row>
    <row r="93" spans="1:29" x14ac:dyDescent="0.3">
      <c r="A93" s="1">
        <f t="shared" si="1"/>
        <v>92</v>
      </c>
      <c r="B93">
        <v>1</v>
      </c>
      <c r="C93">
        <v>713.6</v>
      </c>
      <c r="D93">
        <v>165.3</v>
      </c>
      <c r="E93">
        <v>147.6</v>
      </c>
      <c r="F93">
        <v>110</v>
      </c>
      <c r="G93">
        <v>29</v>
      </c>
      <c r="H93">
        <v>50</v>
      </c>
      <c r="I93">
        <v>712</v>
      </c>
      <c r="J93">
        <v>26.75</v>
      </c>
      <c r="K93">
        <v>13.55</v>
      </c>
      <c r="L93">
        <v>0.23580000000000001</v>
      </c>
      <c r="M93">
        <v>2.5999999999999999E-3</v>
      </c>
      <c r="N93">
        <v>0.58289999999999997</v>
      </c>
      <c r="O93">
        <v>0.75790000000000002</v>
      </c>
      <c r="P93">
        <v>338.87</v>
      </c>
      <c r="Q93">
        <v>7480.94</v>
      </c>
      <c r="R93">
        <v>4.1500000000000004</v>
      </c>
      <c r="S93">
        <v>16.23</v>
      </c>
      <c r="T93">
        <v>0.2505</v>
      </c>
      <c r="U93">
        <v>1.1963999999999999</v>
      </c>
      <c r="V93">
        <v>6.3464</v>
      </c>
      <c r="W93">
        <v>0.81</v>
      </c>
      <c r="X93">
        <v>9.7900000000000001E-2</v>
      </c>
      <c r="Y93">
        <v>1.5471999999999999</v>
      </c>
      <c r="Z93" s="2">
        <v>95.3</v>
      </c>
      <c r="AA93">
        <v>1</v>
      </c>
      <c r="AB93" s="2">
        <v>89.8</v>
      </c>
      <c r="AC93">
        <v>0</v>
      </c>
    </row>
    <row r="94" spans="1:29" x14ac:dyDescent="0.3">
      <c r="A94" s="1">
        <f t="shared" si="1"/>
        <v>93</v>
      </c>
      <c r="B94">
        <v>2</v>
      </c>
      <c r="C94">
        <v>808.2</v>
      </c>
      <c r="D94">
        <v>171.7</v>
      </c>
      <c r="E94">
        <v>90.6</v>
      </c>
      <c r="F94">
        <v>90</v>
      </c>
      <c r="G94">
        <v>31</v>
      </c>
      <c r="H94">
        <v>49</v>
      </c>
      <c r="I94">
        <v>712</v>
      </c>
      <c r="J94">
        <v>26.06</v>
      </c>
      <c r="K94">
        <v>14</v>
      </c>
      <c r="L94">
        <v>0.22020000000000001</v>
      </c>
      <c r="M94">
        <v>8.0000000000000004E-4</v>
      </c>
      <c r="N94">
        <v>0.33289999999999997</v>
      </c>
      <c r="O94">
        <v>0.90159999999999996</v>
      </c>
      <c r="P94">
        <v>374.14</v>
      </c>
      <c r="Q94">
        <v>6075.12</v>
      </c>
      <c r="R94">
        <v>3.89</v>
      </c>
      <c r="S94">
        <v>12.67</v>
      </c>
      <c r="T94">
        <v>0.28149999999999997</v>
      </c>
      <c r="U94">
        <v>0.86970000000000003</v>
      </c>
      <c r="V94">
        <v>5.4066999999999998</v>
      </c>
      <c r="W94">
        <v>0.67830000000000001</v>
      </c>
      <c r="X94">
        <v>9.5899999999999999E-2</v>
      </c>
      <c r="Y94">
        <v>0.94</v>
      </c>
      <c r="Z94" s="2">
        <v>94.6</v>
      </c>
      <c r="AA94">
        <v>1</v>
      </c>
      <c r="AB94" s="2">
        <v>83.1</v>
      </c>
      <c r="AC94">
        <v>0</v>
      </c>
    </row>
    <row r="95" spans="1:29" x14ac:dyDescent="0.3">
      <c r="A95" s="1">
        <f t="shared" si="1"/>
        <v>94</v>
      </c>
      <c r="B95">
        <v>2</v>
      </c>
      <c r="C95">
        <v>685.1</v>
      </c>
      <c r="D95">
        <v>167.3</v>
      </c>
      <c r="E95">
        <v>156.4</v>
      </c>
      <c r="F95">
        <v>225</v>
      </c>
      <c r="G95">
        <v>32</v>
      </c>
      <c r="H95">
        <v>76</v>
      </c>
      <c r="I95">
        <v>712</v>
      </c>
      <c r="J95">
        <v>22.57</v>
      </c>
      <c r="K95">
        <v>8.7100000000000009</v>
      </c>
      <c r="L95">
        <v>0.26819999999999999</v>
      </c>
      <c r="M95">
        <v>5.5999999999999999E-3</v>
      </c>
      <c r="N95">
        <v>0.5897</v>
      </c>
      <c r="O95">
        <v>0.79849999999999999</v>
      </c>
      <c r="P95">
        <v>354.66</v>
      </c>
      <c r="Q95">
        <v>9836.14</v>
      </c>
      <c r="R95">
        <v>4.01</v>
      </c>
      <c r="S95">
        <v>22.94</v>
      </c>
      <c r="T95">
        <v>0.18479999999999999</v>
      </c>
      <c r="U95">
        <v>1.3050999999999999</v>
      </c>
      <c r="V95">
        <v>14.5311</v>
      </c>
      <c r="W95">
        <v>0.84260000000000002</v>
      </c>
      <c r="X95">
        <v>0.10349999999999999</v>
      </c>
      <c r="Y95">
        <v>1.5185</v>
      </c>
      <c r="Z95" s="2">
        <v>92.7</v>
      </c>
      <c r="AA95">
        <v>1</v>
      </c>
      <c r="AB95" s="2">
        <v>84</v>
      </c>
      <c r="AC95">
        <v>0</v>
      </c>
    </row>
    <row r="96" spans="1:29" x14ac:dyDescent="0.3">
      <c r="A96" s="1">
        <f t="shared" si="1"/>
        <v>95</v>
      </c>
      <c r="B96">
        <v>2</v>
      </c>
      <c r="C96">
        <v>751.9</v>
      </c>
      <c r="D96">
        <v>172.1</v>
      </c>
      <c r="E96">
        <v>132.19999999999999</v>
      </c>
      <c r="F96">
        <v>125</v>
      </c>
      <c r="G96">
        <v>26</v>
      </c>
      <c r="H96">
        <v>50</v>
      </c>
      <c r="I96">
        <v>712</v>
      </c>
      <c r="J96">
        <v>21.06</v>
      </c>
      <c r="K96">
        <v>8.5399999999999991</v>
      </c>
      <c r="L96">
        <v>0.26729999999999998</v>
      </c>
      <c r="M96">
        <v>3.0999999999999999E-3</v>
      </c>
      <c r="N96">
        <v>0.43240000000000001</v>
      </c>
      <c r="O96">
        <v>0.90820000000000001</v>
      </c>
      <c r="P96">
        <v>371.96</v>
      </c>
      <c r="Q96">
        <v>7451.41</v>
      </c>
      <c r="R96">
        <v>3.91</v>
      </c>
      <c r="S96">
        <v>26.07</v>
      </c>
      <c r="T96">
        <v>0.20760000000000001</v>
      </c>
      <c r="U96">
        <v>1.0387999999999999</v>
      </c>
      <c r="V96">
        <v>7.6307</v>
      </c>
      <c r="W96">
        <v>0.84709999999999996</v>
      </c>
      <c r="X96">
        <v>0.1065</v>
      </c>
      <c r="Y96">
        <v>1.2202999999999999</v>
      </c>
      <c r="Z96" s="2">
        <v>91.2</v>
      </c>
      <c r="AA96">
        <v>1</v>
      </c>
      <c r="AB96" s="2">
        <v>77.5</v>
      </c>
      <c r="AC96">
        <v>0</v>
      </c>
    </row>
    <row r="97" spans="1:29" x14ac:dyDescent="0.3">
      <c r="A97" s="1">
        <f t="shared" si="1"/>
        <v>96</v>
      </c>
      <c r="B97">
        <v>3</v>
      </c>
      <c r="C97">
        <v>415.3</v>
      </c>
      <c r="D97">
        <v>159.6</v>
      </c>
      <c r="E97">
        <v>144.4</v>
      </c>
      <c r="F97">
        <v>145</v>
      </c>
      <c r="G97">
        <v>10</v>
      </c>
      <c r="H97">
        <v>24</v>
      </c>
      <c r="I97">
        <v>712</v>
      </c>
      <c r="J97">
        <v>45.51</v>
      </c>
      <c r="K97">
        <v>27.94</v>
      </c>
      <c r="L97">
        <v>0.19889999999999999</v>
      </c>
      <c r="M97">
        <v>0</v>
      </c>
      <c r="N97">
        <v>0.38740000000000002</v>
      </c>
      <c r="O97">
        <v>0.93820000000000003</v>
      </c>
      <c r="P97">
        <v>197.97</v>
      </c>
      <c r="Q97">
        <v>2761.86</v>
      </c>
      <c r="R97">
        <v>4.43</v>
      </c>
      <c r="S97">
        <v>5.04</v>
      </c>
      <c r="T97">
        <v>0.31159999999999999</v>
      </c>
      <c r="U97">
        <v>0.67</v>
      </c>
      <c r="V97">
        <v>3.7542</v>
      </c>
      <c r="W97">
        <v>0.72430000000000005</v>
      </c>
      <c r="X97">
        <v>4.48E-2</v>
      </c>
      <c r="Y97">
        <v>0.89319999999999999</v>
      </c>
      <c r="Z97" s="2">
        <v>99.1</v>
      </c>
      <c r="AA97">
        <v>1</v>
      </c>
      <c r="AB97" s="2">
        <v>99.9</v>
      </c>
      <c r="AC97">
        <v>1</v>
      </c>
    </row>
    <row r="98" spans="1:29" x14ac:dyDescent="0.3">
      <c r="A98" s="1">
        <f t="shared" si="1"/>
        <v>97</v>
      </c>
      <c r="B98">
        <v>2</v>
      </c>
      <c r="C98">
        <v>1095.4000000000001</v>
      </c>
      <c r="D98">
        <v>196.7</v>
      </c>
      <c r="E98">
        <v>218</v>
      </c>
      <c r="F98">
        <v>240</v>
      </c>
      <c r="G98">
        <v>20</v>
      </c>
      <c r="H98">
        <v>67</v>
      </c>
      <c r="I98">
        <v>712</v>
      </c>
      <c r="J98">
        <v>28.29</v>
      </c>
      <c r="K98">
        <v>11.18</v>
      </c>
      <c r="L98">
        <v>0.29270000000000002</v>
      </c>
      <c r="M98">
        <v>5.7000000000000002E-3</v>
      </c>
      <c r="N98">
        <v>0.60609999999999997</v>
      </c>
      <c r="O98">
        <v>0.66990000000000005</v>
      </c>
      <c r="P98">
        <v>418.47</v>
      </c>
      <c r="Q98">
        <v>11520.54</v>
      </c>
      <c r="R98">
        <v>3.29</v>
      </c>
      <c r="S98">
        <v>53.5</v>
      </c>
      <c r="T98">
        <v>0.16619999999999999</v>
      </c>
      <c r="U98">
        <v>1.609</v>
      </c>
      <c r="V98">
        <v>15.9191</v>
      </c>
      <c r="W98">
        <v>0.84499999999999997</v>
      </c>
      <c r="X98">
        <v>0.10929999999999999</v>
      </c>
      <c r="Y98">
        <v>1.9258</v>
      </c>
      <c r="Z98" s="2">
        <v>93.7</v>
      </c>
      <c r="AA98">
        <v>1</v>
      </c>
      <c r="AB98" s="2">
        <v>91.3</v>
      </c>
      <c r="AC98">
        <v>1</v>
      </c>
    </row>
    <row r="99" spans="1:29" x14ac:dyDescent="0.3">
      <c r="A99" s="1">
        <f t="shared" si="1"/>
        <v>98</v>
      </c>
      <c r="B99">
        <v>2</v>
      </c>
      <c r="C99">
        <v>993.1</v>
      </c>
      <c r="D99">
        <v>183.6</v>
      </c>
      <c r="E99">
        <v>232.3</v>
      </c>
      <c r="F99">
        <v>260</v>
      </c>
      <c r="G99">
        <v>17</v>
      </c>
      <c r="H99">
        <v>68</v>
      </c>
      <c r="I99">
        <v>712</v>
      </c>
      <c r="J99">
        <v>24.74</v>
      </c>
      <c r="K99">
        <v>9.5299999999999994</v>
      </c>
      <c r="L99">
        <v>0.2888</v>
      </c>
      <c r="M99">
        <v>4.7999999999999996E-3</v>
      </c>
      <c r="N99">
        <v>0.67330000000000001</v>
      </c>
      <c r="O99">
        <v>0.7198</v>
      </c>
      <c r="P99">
        <v>399.86</v>
      </c>
      <c r="Q99">
        <v>10504.7</v>
      </c>
      <c r="R99">
        <v>3.6</v>
      </c>
      <c r="S99">
        <v>48.34</v>
      </c>
      <c r="T99">
        <v>0.1603</v>
      </c>
      <c r="U99">
        <v>1.6203000000000001</v>
      </c>
      <c r="V99">
        <v>15.7155</v>
      </c>
      <c r="W99">
        <v>0.87619999999999998</v>
      </c>
      <c r="X99">
        <v>0.105</v>
      </c>
      <c r="Y99">
        <v>1.9017999999999999</v>
      </c>
      <c r="Z99" s="2">
        <v>93.5</v>
      </c>
      <c r="AA99">
        <v>1</v>
      </c>
      <c r="AB99" s="2">
        <v>93.7</v>
      </c>
      <c r="AC99">
        <v>1</v>
      </c>
    </row>
    <row r="100" spans="1:29" x14ac:dyDescent="0.3">
      <c r="A100" s="1">
        <f t="shared" si="1"/>
        <v>99</v>
      </c>
      <c r="B100">
        <v>1</v>
      </c>
      <c r="C100">
        <v>639.29999999999995</v>
      </c>
      <c r="D100">
        <v>168.1</v>
      </c>
      <c r="E100">
        <v>81.400000000000006</v>
      </c>
      <c r="F100">
        <v>75</v>
      </c>
      <c r="G100">
        <v>33</v>
      </c>
      <c r="H100">
        <v>47</v>
      </c>
      <c r="I100">
        <v>712</v>
      </c>
      <c r="J100">
        <v>16.61</v>
      </c>
      <c r="K100">
        <v>8.25</v>
      </c>
      <c r="L100">
        <v>0.27910000000000001</v>
      </c>
      <c r="M100">
        <v>4.1000000000000003E-3</v>
      </c>
      <c r="N100">
        <v>0.3019</v>
      </c>
      <c r="O100">
        <v>1.5488999999999999</v>
      </c>
      <c r="P100">
        <v>324.22000000000003</v>
      </c>
      <c r="Q100">
        <v>4056.13</v>
      </c>
      <c r="R100">
        <v>4.01</v>
      </c>
      <c r="S100">
        <v>18.86</v>
      </c>
      <c r="T100">
        <v>0.2349</v>
      </c>
      <c r="U100">
        <v>0.58650000000000002</v>
      </c>
      <c r="V100">
        <v>5.3906000000000001</v>
      </c>
      <c r="W100">
        <v>0.78200000000000003</v>
      </c>
      <c r="X100">
        <v>0.12809999999999999</v>
      </c>
      <c r="Y100">
        <v>0.84789999999999999</v>
      </c>
      <c r="Z100" s="2">
        <v>100</v>
      </c>
      <c r="AA100">
        <v>1</v>
      </c>
      <c r="AB100" s="2">
        <v>99.7</v>
      </c>
      <c r="AC100">
        <v>1</v>
      </c>
    </row>
    <row r="101" spans="1:29" x14ac:dyDescent="0.3">
      <c r="A101" s="1">
        <f t="shared" si="1"/>
        <v>100</v>
      </c>
      <c r="B101">
        <v>2</v>
      </c>
      <c r="C101">
        <v>740</v>
      </c>
      <c r="D101">
        <v>176.8</v>
      </c>
      <c r="E101">
        <v>104.2</v>
      </c>
      <c r="F101">
        <v>90</v>
      </c>
      <c r="G101">
        <v>31</v>
      </c>
      <c r="H101">
        <v>48</v>
      </c>
      <c r="I101">
        <v>712</v>
      </c>
      <c r="J101">
        <v>25.32</v>
      </c>
      <c r="K101">
        <v>13.3</v>
      </c>
      <c r="L101">
        <v>0.23630000000000001</v>
      </c>
      <c r="M101">
        <v>5.0000000000000001E-4</v>
      </c>
      <c r="N101">
        <v>0.30690000000000001</v>
      </c>
      <c r="O101">
        <v>1.0033000000000001</v>
      </c>
      <c r="P101">
        <v>359.72</v>
      </c>
      <c r="Q101">
        <v>5255.82</v>
      </c>
      <c r="R101">
        <v>3.6</v>
      </c>
      <c r="S101">
        <v>27.54</v>
      </c>
      <c r="T101">
        <v>0.30740000000000001</v>
      </c>
      <c r="U101">
        <v>0.84330000000000005</v>
      </c>
      <c r="V101">
        <v>5.5903</v>
      </c>
      <c r="W101">
        <v>0.73670000000000002</v>
      </c>
      <c r="X101">
        <v>0.1048</v>
      </c>
      <c r="Y101">
        <v>0.96189999999999998</v>
      </c>
      <c r="Z101" s="2">
        <v>94.2</v>
      </c>
      <c r="AA101">
        <v>1</v>
      </c>
      <c r="AB101" s="2">
        <v>89.3</v>
      </c>
      <c r="AC101">
        <v>0</v>
      </c>
    </row>
    <row r="102" spans="1:29" x14ac:dyDescent="0.3">
      <c r="A102" s="1">
        <f t="shared" si="1"/>
        <v>101</v>
      </c>
      <c r="B102">
        <v>3</v>
      </c>
      <c r="C102">
        <v>582.1</v>
      </c>
      <c r="D102">
        <v>184.4</v>
      </c>
      <c r="E102">
        <v>269.89999999999998</v>
      </c>
      <c r="F102">
        <v>315</v>
      </c>
      <c r="G102">
        <v>9</v>
      </c>
      <c r="H102">
        <v>40</v>
      </c>
      <c r="I102">
        <v>640</v>
      </c>
      <c r="J102">
        <v>60.56</v>
      </c>
      <c r="K102">
        <v>30.55</v>
      </c>
      <c r="L102">
        <v>0.20019999999999999</v>
      </c>
      <c r="M102">
        <v>0</v>
      </c>
      <c r="N102">
        <v>0.96560000000000001</v>
      </c>
      <c r="O102">
        <v>0.66159999999999997</v>
      </c>
      <c r="P102">
        <v>248.24</v>
      </c>
      <c r="Q102">
        <v>7846.17</v>
      </c>
      <c r="R102">
        <v>3.43</v>
      </c>
      <c r="S102">
        <v>4.7</v>
      </c>
      <c r="T102">
        <v>0.25600000000000001</v>
      </c>
      <c r="U102">
        <v>1.429</v>
      </c>
      <c r="V102">
        <v>7.3055000000000003</v>
      </c>
      <c r="W102">
        <v>0.77790000000000004</v>
      </c>
      <c r="X102">
        <v>4.0399999999999998E-2</v>
      </c>
      <c r="Y102">
        <v>2.819</v>
      </c>
      <c r="Z102" s="2">
        <v>90.6</v>
      </c>
      <c r="AA102">
        <v>1</v>
      </c>
      <c r="AB102" s="2">
        <v>90</v>
      </c>
      <c r="AC102">
        <v>1</v>
      </c>
    </row>
    <row r="103" spans="1:29" x14ac:dyDescent="0.3">
      <c r="A103" s="1">
        <f t="shared" si="1"/>
        <v>102</v>
      </c>
      <c r="B103">
        <v>2</v>
      </c>
      <c r="C103">
        <v>1106</v>
      </c>
      <c r="D103">
        <v>256.10000000000002</v>
      </c>
      <c r="E103">
        <v>280.2</v>
      </c>
      <c r="F103">
        <v>315</v>
      </c>
      <c r="G103">
        <v>13</v>
      </c>
      <c r="H103">
        <v>75</v>
      </c>
      <c r="I103">
        <v>1064</v>
      </c>
      <c r="J103">
        <v>22.57</v>
      </c>
      <c r="K103">
        <v>8.4700000000000006</v>
      </c>
      <c r="L103">
        <v>0.30459999999999998</v>
      </c>
      <c r="M103">
        <v>7.1000000000000004E-3</v>
      </c>
      <c r="N103">
        <v>0.74009999999999998</v>
      </c>
      <c r="O103">
        <v>0.85360000000000003</v>
      </c>
      <c r="P103">
        <v>338.59</v>
      </c>
      <c r="Q103">
        <v>10392.370000000001</v>
      </c>
      <c r="R103">
        <v>4.03</v>
      </c>
      <c r="S103">
        <v>34.200000000000003</v>
      </c>
      <c r="T103">
        <v>0.1081</v>
      </c>
      <c r="U103">
        <v>1.4574</v>
      </c>
      <c r="V103">
        <v>20.866</v>
      </c>
      <c r="W103">
        <v>0.9002</v>
      </c>
      <c r="X103">
        <v>0.11799999999999999</v>
      </c>
      <c r="Y103">
        <v>1.8897999999999999</v>
      </c>
      <c r="Z103" s="2">
        <v>88.6</v>
      </c>
      <c r="AA103">
        <v>0</v>
      </c>
      <c r="AB103" s="2">
        <v>90.9</v>
      </c>
      <c r="AC103">
        <v>1</v>
      </c>
    </row>
    <row r="104" spans="1:29" x14ac:dyDescent="0.3">
      <c r="A104" s="1">
        <f t="shared" si="1"/>
        <v>103</v>
      </c>
      <c r="B104">
        <v>2</v>
      </c>
      <c r="C104">
        <v>710.9</v>
      </c>
      <c r="D104">
        <v>182.8</v>
      </c>
      <c r="E104">
        <v>82.9</v>
      </c>
      <c r="F104">
        <v>95</v>
      </c>
      <c r="G104">
        <v>31</v>
      </c>
      <c r="H104">
        <v>49</v>
      </c>
      <c r="I104">
        <v>712</v>
      </c>
      <c r="J104">
        <v>21.74</v>
      </c>
      <c r="K104">
        <v>9.8800000000000008</v>
      </c>
      <c r="L104">
        <v>0.2409</v>
      </c>
      <c r="M104">
        <v>4.1000000000000003E-3</v>
      </c>
      <c r="N104">
        <v>0.36449999999999999</v>
      </c>
      <c r="O104">
        <v>1.0644</v>
      </c>
      <c r="P104">
        <v>357.58</v>
      </c>
      <c r="Q104">
        <v>6493.14</v>
      </c>
      <c r="R104">
        <v>3.51</v>
      </c>
      <c r="S104">
        <v>34.81</v>
      </c>
      <c r="T104">
        <v>0.26050000000000001</v>
      </c>
      <c r="U104">
        <v>0.83560000000000001</v>
      </c>
      <c r="V104">
        <v>5.5304000000000002</v>
      </c>
      <c r="W104">
        <v>0.70489999999999997</v>
      </c>
      <c r="X104">
        <v>0.1016</v>
      </c>
      <c r="Y104">
        <v>1.1644000000000001</v>
      </c>
      <c r="Z104" s="2">
        <v>94.6</v>
      </c>
      <c r="AA104">
        <v>1</v>
      </c>
      <c r="AB104" s="2">
        <v>90.8</v>
      </c>
      <c r="AC104">
        <v>1</v>
      </c>
    </row>
    <row r="105" spans="1:29" x14ac:dyDescent="0.3">
      <c r="A105" s="1">
        <f t="shared" si="1"/>
        <v>104</v>
      </c>
      <c r="B105">
        <v>1</v>
      </c>
      <c r="C105">
        <v>755.5</v>
      </c>
      <c r="D105">
        <v>163.5</v>
      </c>
      <c r="E105">
        <v>194.6</v>
      </c>
      <c r="F105">
        <v>215</v>
      </c>
      <c r="G105">
        <v>29</v>
      </c>
      <c r="H105">
        <v>71</v>
      </c>
      <c r="I105">
        <v>712</v>
      </c>
      <c r="J105">
        <v>34.71</v>
      </c>
      <c r="K105">
        <v>15.7</v>
      </c>
      <c r="L105">
        <v>0.23</v>
      </c>
      <c r="M105">
        <v>3.5000000000000001E-3</v>
      </c>
      <c r="N105">
        <v>0.73809999999999998</v>
      </c>
      <c r="O105">
        <v>0.66059999999999997</v>
      </c>
      <c r="P105">
        <v>354.81</v>
      </c>
      <c r="Q105">
        <v>9248.94</v>
      </c>
      <c r="R105">
        <v>4.22</v>
      </c>
      <c r="S105">
        <v>13.35</v>
      </c>
      <c r="T105">
        <v>0.23499999999999999</v>
      </c>
      <c r="U105">
        <v>1.4716</v>
      </c>
      <c r="V105">
        <v>11.3758</v>
      </c>
      <c r="W105">
        <v>0.77790000000000004</v>
      </c>
      <c r="X105">
        <v>8.3699999999999997E-2</v>
      </c>
      <c r="Y105">
        <v>1.8315999999999999</v>
      </c>
      <c r="Z105" s="2">
        <v>98.8</v>
      </c>
      <c r="AA105">
        <v>1</v>
      </c>
      <c r="AB105" s="2">
        <v>99.4</v>
      </c>
      <c r="AC105">
        <v>1</v>
      </c>
    </row>
    <row r="106" spans="1:29" x14ac:dyDescent="0.3">
      <c r="A106" s="1">
        <f t="shared" si="1"/>
        <v>105</v>
      </c>
      <c r="B106">
        <v>2</v>
      </c>
      <c r="C106">
        <v>1632.6</v>
      </c>
      <c r="D106">
        <v>282.60000000000002</v>
      </c>
      <c r="E106">
        <v>105</v>
      </c>
      <c r="F106">
        <v>105</v>
      </c>
      <c r="G106">
        <v>29</v>
      </c>
      <c r="H106">
        <v>49</v>
      </c>
      <c r="I106">
        <v>712</v>
      </c>
      <c r="J106">
        <v>20.63</v>
      </c>
      <c r="K106">
        <v>12.71</v>
      </c>
      <c r="L106">
        <v>0.29049999999999998</v>
      </c>
      <c r="M106">
        <v>2E-3</v>
      </c>
      <c r="N106">
        <v>0.2112</v>
      </c>
      <c r="O106">
        <v>1.5963000000000001</v>
      </c>
      <c r="P106">
        <v>430.77</v>
      </c>
      <c r="Q106">
        <v>15274.16</v>
      </c>
      <c r="R106">
        <v>1.94</v>
      </c>
      <c r="S106">
        <v>88.34</v>
      </c>
      <c r="T106">
        <v>0.19689999999999999</v>
      </c>
      <c r="U106">
        <v>1.0339</v>
      </c>
      <c r="V106">
        <v>6.4553000000000003</v>
      </c>
      <c r="W106">
        <v>0.82930000000000004</v>
      </c>
      <c r="X106">
        <v>0.1318</v>
      </c>
      <c r="Y106">
        <v>1.2573000000000001</v>
      </c>
      <c r="Z106" s="2">
        <v>94.6</v>
      </c>
      <c r="AA106">
        <v>1</v>
      </c>
      <c r="AB106" s="2">
        <v>93</v>
      </c>
      <c r="AC106">
        <v>1</v>
      </c>
    </row>
    <row r="107" spans="1:29" x14ac:dyDescent="0.3">
      <c r="A107" s="1">
        <f t="shared" si="1"/>
        <v>106</v>
      </c>
      <c r="B107">
        <v>1</v>
      </c>
      <c r="C107">
        <v>868.5</v>
      </c>
      <c r="D107">
        <v>179.9</v>
      </c>
      <c r="E107">
        <v>119.6</v>
      </c>
      <c r="F107">
        <v>95</v>
      </c>
      <c r="G107">
        <v>30</v>
      </c>
      <c r="H107">
        <v>48</v>
      </c>
      <c r="I107">
        <v>712</v>
      </c>
      <c r="J107">
        <v>19.04</v>
      </c>
      <c r="K107">
        <v>8.9499999999999993</v>
      </c>
      <c r="L107">
        <v>0.29120000000000001</v>
      </c>
      <c r="M107">
        <v>5.4999999999999997E-3</v>
      </c>
      <c r="N107">
        <v>0.49199999999999999</v>
      </c>
      <c r="O107">
        <v>0.84219999999999995</v>
      </c>
      <c r="P107">
        <v>351.56</v>
      </c>
      <c r="Q107">
        <v>5255.75</v>
      </c>
      <c r="R107">
        <v>3.63</v>
      </c>
      <c r="S107">
        <v>26.54</v>
      </c>
      <c r="T107">
        <v>0.20180000000000001</v>
      </c>
      <c r="U107">
        <v>1.1242000000000001</v>
      </c>
      <c r="V107">
        <v>7.6307999999999998</v>
      </c>
      <c r="W107">
        <v>0.80649999999999999</v>
      </c>
      <c r="X107">
        <v>0.13200000000000001</v>
      </c>
      <c r="Y107">
        <v>1.5046999999999999</v>
      </c>
      <c r="Z107" s="2">
        <v>97.8</v>
      </c>
      <c r="AA107">
        <v>1</v>
      </c>
      <c r="AB107" s="2">
        <v>92</v>
      </c>
      <c r="AC107">
        <v>1</v>
      </c>
    </row>
    <row r="108" spans="1:29" x14ac:dyDescent="0.3">
      <c r="A108" s="1">
        <f t="shared" si="1"/>
        <v>107</v>
      </c>
      <c r="B108">
        <v>1</v>
      </c>
      <c r="C108">
        <v>626.1</v>
      </c>
      <c r="D108">
        <v>168.6</v>
      </c>
      <c r="E108">
        <v>114.6</v>
      </c>
      <c r="F108">
        <v>85</v>
      </c>
      <c r="G108">
        <v>32</v>
      </c>
      <c r="H108">
        <v>48</v>
      </c>
      <c r="I108">
        <v>712</v>
      </c>
      <c r="J108">
        <v>22.24</v>
      </c>
      <c r="K108">
        <v>11.95</v>
      </c>
      <c r="L108">
        <v>0.24779999999999999</v>
      </c>
      <c r="M108">
        <v>3.5000000000000001E-3</v>
      </c>
      <c r="N108">
        <v>0.51380000000000003</v>
      </c>
      <c r="O108">
        <v>1.0928</v>
      </c>
      <c r="P108">
        <v>319.27</v>
      </c>
      <c r="Q108">
        <v>5354.5</v>
      </c>
      <c r="R108">
        <v>4.1100000000000003</v>
      </c>
      <c r="S108">
        <v>23.13</v>
      </c>
      <c r="T108">
        <v>0.2414</v>
      </c>
      <c r="U108">
        <v>0.85450000000000004</v>
      </c>
      <c r="V108">
        <v>5.5174000000000003</v>
      </c>
      <c r="W108">
        <v>0.78390000000000004</v>
      </c>
      <c r="X108">
        <v>0.11219999999999999</v>
      </c>
      <c r="Y108">
        <v>1.4873000000000001</v>
      </c>
      <c r="Z108" s="2">
        <v>96.7</v>
      </c>
      <c r="AA108">
        <v>1</v>
      </c>
      <c r="AB108" s="2">
        <v>93.4</v>
      </c>
      <c r="AC108">
        <v>1</v>
      </c>
    </row>
    <row r="109" spans="1:29" x14ac:dyDescent="0.3">
      <c r="A109" s="1">
        <f t="shared" si="1"/>
        <v>108</v>
      </c>
      <c r="B109">
        <v>3</v>
      </c>
      <c r="C109">
        <v>547.9</v>
      </c>
      <c r="D109">
        <v>97.3</v>
      </c>
      <c r="E109">
        <v>121.5</v>
      </c>
      <c r="F109">
        <v>105</v>
      </c>
      <c r="G109">
        <v>15</v>
      </c>
      <c r="H109">
        <v>25</v>
      </c>
      <c r="I109">
        <v>356</v>
      </c>
      <c r="J109">
        <v>24.28</v>
      </c>
      <c r="K109">
        <v>13.57</v>
      </c>
      <c r="L109">
        <v>0.22800000000000001</v>
      </c>
      <c r="M109">
        <v>0</v>
      </c>
      <c r="N109">
        <v>0.3175</v>
      </c>
      <c r="O109">
        <v>0.90539999999999998</v>
      </c>
      <c r="P109">
        <v>389.5</v>
      </c>
      <c r="Q109">
        <v>6174.33</v>
      </c>
      <c r="R109">
        <v>3.33</v>
      </c>
      <c r="S109">
        <v>34.75</v>
      </c>
      <c r="T109">
        <v>0.23619999999999999</v>
      </c>
      <c r="U109">
        <v>0.9819</v>
      </c>
      <c r="V109">
        <v>3.2530000000000001</v>
      </c>
      <c r="W109">
        <v>0.83</v>
      </c>
      <c r="X109">
        <v>6.3600000000000004E-2</v>
      </c>
      <c r="Y109">
        <v>0.90959999999999996</v>
      </c>
      <c r="Z109" s="2">
        <v>97.3</v>
      </c>
      <c r="AA109">
        <v>1</v>
      </c>
      <c r="AB109" s="2">
        <v>97.8</v>
      </c>
      <c r="AC109">
        <v>1</v>
      </c>
    </row>
    <row r="110" spans="1:29" x14ac:dyDescent="0.3">
      <c r="A110" s="1">
        <f t="shared" si="1"/>
        <v>109</v>
      </c>
      <c r="B110">
        <v>2</v>
      </c>
      <c r="C110">
        <v>713</v>
      </c>
      <c r="D110">
        <v>165.2</v>
      </c>
      <c r="E110">
        <v>226.3</v>
      </c>
      <c r="F110">
        <v>265</v>
      </c>
      <c r="G110">
        <v>17</v>
      </c>
      <c r="H110">
        <v>69</v>
      </c>
      <c r="I110">
        <v>712</v>
      </c>
      <c r="J110">
        <v>32.68</v>
      </c>
      <c r="K110">
        <v>14.57</v>
      </c>
      <c r="L110">
        <v>0.24210000000000001</v>
      </c>
      <c r="M110">
        <v>1.4E-3</v>
      </c>
      <c r="N110">
        <v>0.67169999999999996</v>
      </c>
      <c r="O110">
        <v>0.74439999999999995</v>
      </c>
      <c r="P110">
        <v>350.49</v>
      </c>
      <c r="Q110">
        <v>9052.11</v>
      </c>
      <c r="R110">
        <v>4.12</v>
      </c>
      <c r="S110">
        <v>16.91</v>
      </c>
      <c r="T110">
        <v>0.18509999999999999</v>
      </c>
      <c r="U110">
        <v>1.3416999999999999</v>
      </c>
      <c r="V110">
        <v>13.4193</v>
      </c>
      <c r="W110">
        <v>0.85050000000000003</v>
      </c>
      <c r="X110">
        <v>8.8999999999999996E-2</v>
      </c>
      <c r="Y110">
        <v>1.7085999999999999</v>
      </c>
      <c r="Z110" s="2">
        <v>95.7</v>
      </c>
      <c r="AA110">
        <v>1</v>
      </c>
      <c r="AB110" s="2">
        <v>98.4</v>
      </c>
      <c r="AC110">
        <v>1</v>
      </c>
    </row>
    <row r="111" spans="1:29" x14ac:dyDescent="0.3">
      <c r="A111" s="1">
        <f t="shared" si="1"/>
        <v>110</v>
      </c>
      <c r="B111">
        <v>1</v>
      </c>
      <c r="C111">
        <v>556.1</v>
      </c>
      <c r="D111">
        <v>159.30000000000001</v>
      </c>
      <c r="E111">
        <v>96.6</v>
      </c>
      <c r="F111">
        <v>70</v>
      </c>
      <c r="G111">
        <v>33</v>
      </c>
      <c r="H111">
        <v>46</v>
      </c>
      <c r="I111">
        <v>712</v>
      </c>
      <c r="J111">
        <v>27.74</v>
      </c>
      <c r="K111">
        <v>19.77</v>
      </c>
      <c r="L111">
        <v>0.19139999999999999</v>
      </c>
      <c r="M111">
        <v>1.8E-3</v>
      </c>
      <c r="N111">
        <v>0.52190000000000003</v>
      </c>
      <c r="O111">
        <v>0.97660000000000002</v>
      </c>
      <c r="P111">
        <v>283.29000000000002</v>
      </c>
      <c r="Q111">
        <v>4011.94</v>
      </c>
      <c r="R111">
        <v>4.4000000000000004</v>
      </c>
      <c r="S111">
        <v>6.04</v>
      </c>
      <c r="T111">
        <v>0.26850000000000002</v>
      </c>
      <c r="U111">
        <v>0.95150000000000001</v>
      </c>
      <c r="V111">
        <v>2.9683999999999999</v>
      </c>
      <c r="W111">
        <v>0.77649999999999997</v>
      </c>
      <c r="X111">
        <v>9.8900000000000002E-2</v>
      </c>
      <c r="Y111">
        <v>1.2047000000000001</v>
      </c>
      <c r="Z111" s="2">
        <v>96.3</v>
      </c>
      <c r="AA111">
        <v>1</v>
      </c>
      <c r="AB111" s="2">
        <v>96.2</v>
      </c>
      <c r="AC111">
        <v>1</v>
      </c>
    </row>
    <row r="112" spans="1:29" x14ac:dyDescent="0.3">
      <c r="A112" s="1">
        <f t="shared" si="1"/>
        <v>111</v>
      </c>
      <c r="B112">
        <v>3</v>
      </c>
      <c r="C112">
        <v>687.6</v>
      </c>
      <c r="D112">
        <v>196.7</v>
      </c>
      <c r="E112">
        <v>317.10000000000002</v>
      </c>
      <c r="F112">
        <v>310</v>
      </c>
      <c r="G112">
        <v>1</v>
      </c>
      <c r="H112">
        <v>31</v>
      </c>
      <c r="I112">
        <v>712</v>
      </c>
      <c r="J112">
        <v>49.73</v>
      </c>
      <c r="K112">
        <v>26.17</v>
      </c>
      <c r="L112">
        <v>0.2195</v>
      </c>
      <c r="M112">
        <v>0</v>
      </c>
      <c r="N112">
        <v>0.85050000000000003</v>
      </c>
      <c r="O112">
        <v>0.59450000000000003</v>
      </c>
      <c r="P112">
        <v>276.14999999999998</v>
      </c>
      <c r="Q112">
        <v>9472.4</v>
      </c>
      <c r="R112">
        <v>3.58</v>
      </c>
      <c r="S112">
        <v>7.78</v>
      </c>
      <c r="T112">
        <v>0.2283</v>
      </c>
      <c r="U112">
        <v>1.5125999999999999</v>
      </c>
      <c r="V112">
        <v>7.5053999999999998</v>
      </c>
      <c r="W112">
        <v>0.8246</v>
      </c>
      <c r="X112">
        <v>4.53E-2</v>
      </c>
      <c r="Y112">
        <v>2.4413</v>
      </c>
      <c r="Z112" s="2">
        <v>92.7</v>
      </c>
      <c r="AA112">
        <v>1</v>
      </c>
      <c r="AB112" s="2">
        <v>92.2</v>
      </c>
      <c r="AC112">
        <v>1</v>
      </c>
    </row>
    <row r="113" spans="1:29" x14ac:dyDescent="0.3">
      <c r="A113" s="1">
        <f t="shared" si="1"/>
        <v>112</v>
      </c>
      <c r="B113">
        <v>1</v>
      </c>
      <c r="C113">
        <v>620.79999999999995</v>
      </c>
      <c r="D113">
        <v>177.7</v>
      </c>
      <c r="E113">
        <v>96.9</v>
      </c>
      <c r="F113">
        <v>85</v>
      </c>
      <c r="G113">
        <v>32</v>
      </c>
      <c r="H113">
        <v>48</v>
      </c>
      <c r="I113">
        <v>712</v>
      </c>
      <c r="J113">
        <v>23.68</v>
      </c>
      <c r="K113">
        <v>12.89</v>
      </c>
      <c r="L113">
        <v>0.23319999999999999</v>
      </c>
      <c r="M113">
        <v>1E-3</v>
      </c>
      <c r="N113">
        <v>0.43269999999999997</v>
      </c>
      <c r="O113">
        <v>1.0354000000000001</v>
      </c>
      <c r="P113">
        <v>289.12</v>
      </c>
      <c r="Q113">
        <v>4934.8100000000004</v>
      </c>
      <c r="R113">
        <v>3.87</v>
      </c>
      <c r="S113">
        <v>28.84</v>
      </c>
      <c r="T113">
        <v>0.29039999999999999</v>
      </c>
      <c r="U113">
        <v>0.68059999999999998</v>
      </c>
      <c r="V113">
        <v>5.2824999999999998</v>
      </c>
      <c r="W113">
        <v>0.72050000000000003</v>
      </c>
      <c r="X113">
        <v>0.10059999999999999</v>
      </c>
      <c r="Y113">
        <v>1.2685</v>
      </c>
      <c r="Z113" s="2">
        <v>97.3</v>
      </c>
      <c r="AA113">
        <v>1</v>
      </c>
      <c r="AB113" s="2">
        <v>89.7</v>
      </c>
      <c r="AC113">
        <v>0</v>
      </c>
    </row>
    <row r="114" spans="1:29" x14ac:dyDescent="0.3">
      <c r="A114" s="1">
        <f t="shared" si="1"/>
        <v>113</v>
      </c>
      <c r="B114">
        <v>2</v>
      </c>
      <c r="C114">
        <v>519.6</v>
      </c>
      <c r="D114">
        <v>162.4</v>
      </c>
      <c r="E114">
        <v>102.8</v>
      </c>
      <c r="F114">
        <v>105</v>
      </c>
      <c r="G114">
        <v>27</v>
      </c>
      <c r="H114">
        <v>47</v>
      </c>
      <c r="I114">
        <v>712</v>
      </c>
      <c r="J114">
        <v>37.26</v>
      </c>
      <c r="K114">
        <v>23.01</v>
      </c>
      <c r="L114">
        <v>0.1731</v>
      </c>
      <c r="M114">
        <v>1E-4</v>
      </c>
      <c r="N114">
        <v>0.33179999999999998</v>
      </c>
      <c r="O114">
        <v>0.79549999999999998</v>
      </c>
      <c r="P114">
        <v>284.95</v>
      </c>
      <c r="Q114">
        <v>5439.48</v>
      </c>
      <c r="R114">
        <v>4.17</v>
      </c>
      <c r="S114">
        <v>8.92</v>
      </c>
      <c r="T114">
        <v>0.3629</v>
      </c>
      <c r="U114">
        <v>0.7359</v>
      </c>
      <c r="V114">
        <v>5.0650000000000004</v>
      </c>
      <c r="W114">
        <v>0.58620000000000005</v>
      </c>
      <c r="X114">
        <v>7.8299999999999995E-2</v>
      </c>
      <c r="Y114">
        <v>0.86129999999999995</v>
      </c>
      <c r="Z114" s="2">
        <v>96.9</v>
      </c>
      <c r="AA114">
        <v>1</v>
      </c>
      <c r="AB114" s="2">
        <v>94.6</v>
      </c>
      <c r="AC114">
        <v>1</v>
      </c>
    </row>
    <row r="115" spans="1:29" x14ac:dyDescent="0.3">
      <c r="A115" s="1">
        <f t="shared" si="1"/>
        <v>114</v>
      </c>
      <c r="B115">
        <v>2</v>
      </c>
      <c r="C115">
        <v>504</v>
      </c>
      <c r="D115">
        <v>108.3</v>
      </c>
      <c r="E115">
        <v>37</v>
      </c>
      <c r="F115">
        <v>40</v>
      </c>
      <c r="G115">
        <v>37</v>
      </c>
      <c r="H115">
        <v>44</v>
      </c>
      <c r="I115">
        <v>436</v>
      </c>
      <c r="J115">
        <v>14.95</v>
      </c>
      <c r="K115">
        <v>8.5399999999999991</v>
      </c>
      <c r="L115">
        <v>0.22289999999999999</v>
      </c>
      <c r="M115">
        <v>1E-4</v>
      </c>
      <c r="N115">
        <v>0.16009999999999999</v>
      </c>
      <c r="O115">
        <v>1.4118999999999999</v>
      </c>
      <c r="P115">
        <v>383.25</v>
      </c>
      <c r="Q115">
        <v>4698.3100000000004</v>
      </c>
      <c r="R115">
        <v>3.69</v>
      </c>
      <c r="S115">
        <v>21.24</v>
      </c>
      <c r="T115">
        <v>0.32669999999999999</v>
      </c>
      <c r="U115">
        <v>0.53339999999999999</v>
      </c>
      <c r="V115">
        <v>3.1343000000000001</v>
      </c>
      <c r="W115">
        <v>0.52880000000000005</v>
      </c>
      <c r="X115">
        <v>0.1197</v>
      </c>
      <c r="Y115">
        <v>0.4698</v>
      </c>
      <c r="Z115" s="2">
        <v>94.6</v>
      </c>
      <c r="AA115">
        <v>1</v>
      </c>
      <c r="AB115" s="2">
        <v>90.5</v>
      </c>
      <c r="AC115">
        <v>1</v>
      </c>
    </row>
    <row r="116" spans="1:29" x14ac:dyDescent="0.3">
      <c r="A116" s="1">
        <f t="shared" si="1"/>
        <v>115</v>
      </c>
      <c r="B116">
        <v>2</v>
      </c>
      <c r="C116">
        <v>998.7</v>
      </c>
      <c r="D116">
        <v>257.2</v>
      </c>
      <c r="E116">
        <v>168.9</v>
      </c>
      <c r="F116">
        <v>200</v>
      </c>
      <c r="G116">
        <v>27</v>
      </c>
      <c r="H116">
        <v>66</v>
      </c>
      <c r="I116">
        <v>1068</v>
      </c>
      <c r="J116">
        <v>21.25</v>
      </c>
      <c r="K116">
        <v>7.51</v>
      </c>
      <c r="L116">
        <v>0.3009</v>
      </c>
      <c r="M116">
        <v>8.8000000000000005E-3</v>
      </c>
      <c r="N116">
        <v>0.60860000000000003</v>
      </c>
      <c r="O116">
        <v>0.83479999999999999</v>
      </c>
      <c r="P116">
        <v>347.96</v>
      </c>
      <c r="Q116">
        <v>9230.91</v>
      </c>
      <c r="R116">
        <v>3.85</v>
      </c>
      <c r="S116">
        <v>27.3</v>
      </c>
      <c r="T116">
        <v>0.16389999999999999</v>
      </c>
      <c r="U116">
        <v>1.3266</v>
      </c>
      <c r="V116">
        <v>13.1434</v>
      </c>
      <c r="W116">
        <v>0.87439999999999996</v>
      </c>
      <c r="X116">
        <v>0.1187</v>
      </c>
      <c r="Y116">
        <v>1.6980999999999999</v>
      </c>
      <c r="Z116" s="2">
        <v>94.5</v>
      </c>
      <c r="AA116">
        <v>1</v>
      </c>
      <c r="AB116" s="2">
        <v>92.1</v>
      </c>
      <c r="AC116">
        <v>1</v>
      </c>
    </row>
    <row r="117" spans="1:29" x14ac:dyDescent="0.3">
      <c r="A117" s="1">
        <f t="shared" si="1"/>
        <v>116</v>
      </c>
      <c r="B117">
        <v>1</v>
      </c>
      <c r="C117">
        <v>518.1</v>
      </c>
      <c r="D117">
        <v>185.8</v>
      </c>
      <c r="E117">
        <v>116.5</v>
      </c>
      <c r="F117">
        <v>110</v>
      </c>
      <c r="G117">
        <v>31</v>
      </c>
      <c r="H117">
        <v>52</v>
      </c>
      <c r="I117">
        <v>712</v>
      </c>
      <c r="J117">
        <v>35.22</v>
      </c>
      <c r="K117">
        <v>19.420000000000002</v>
      </c>
      <c r="L117">
        <v>0.2099</v>
      </c>
      <c r="M117">
        <v>1.4E-3</v>
      </c>
      <c r="N117">
        <v>0.60160000000000002</v>
      </c>
      <c r="O117">
        <v>0.93369999999999997</v>
      </c>
      <c r="P117">
        <v>246.07</v>
      </c>
      <c r="Q117">
        <v>5209.0600000000004</v>
      </c>
      <c r="R117">
        <v>3.73</v>
      </c>
      <c r="S117">
        <v>34.14</v>
      </c>
      <c r="T117">
        <v>0.31640000000000001</v>
      </c>
      <c r="U117">
        <v>0.75680000000000003</v>
      </c>
      <c r="V117">
        <v>6.0016999999999996</v>
      </c>
      <c r="W117">
        <v>0.63939999999999997</v>
      </c>
      <c r="X117">
        <v>8.6800000000000002E-2</v>
      </c>
      <c r="Y117">
        <v>1.7021999999999999</v>
      </c>
      <c r="Z117" s="2">
        <v>91.6</v>
      </c>
      <c r="AA117">
        <v>1</v>
      </c>
      <c r="AB117" s="2">
        <v>82.2</v>
      </c>
      <c r="AC117">
        <v>0</v>
      </c>
    </row>
    <row r="118" spans="1:29" x14ac:dyDescent="0.3">
      <c r="A118" s="1">
        <f t="shared" si="1"/>
        <v>117</v>
      </c>
      <c r="B118">
        <v>1</v>
      </c>
      <c r="C118">
        <v>567</v>
      </c>
      <c r="D118">
        <v>161.19999999999999</v>
      </c>
      <c r="E118">
        <v>133.80000000000001</v>
      </c>
      <c r="F118">
        <v>85</v>
      </c>
      <c r="G118">
        <v>32</v>
      </c>
      <c r="H118">
        <v>48</v>
      </c>
      <c r="I118">
        <v>712</v>
      </c>
      <c r="J118">
        <v>33.03</v>
      </c>
      <c r="K118">
        <v>22.7</v>
      </c>
      <c r="L118">
        <v>0.16259999999999999</v>
      </c>
      <c r="M118">
        <v>5.0000000000000001E-4</v>
      </c>
      <c r="N118">
        <v>0.55220000000000002</v>
      </c>
      <c r="O118">
        <v>0.84850000000000003</v>
      </c>
      <c r="P118">
        <v>282.45999999999998</v>
      </c>
      <c r="Q118">
        <v>4200.2700000000004</v>
      </c>
      <c r="R118">
        <v>4.42</v>
      </c>
      <c r="S118">
        <v>14.25</v>
      </c>
      <c r="T118">
        <v>0.28870000000000001</v>
      </c>
      <c r="U118">
        <v>1.0206</v>
      </c>
      <c r="V118">
        <v>3.0587</v>
      </c>
      <c r="W118">
        <v>0.82750000000000001</v>
      </c>
      <c r="X118">
        <v>8.7400000000000005E-2</v>
      </c>
      <c r="Y118">
        <v>1.3706</v>
      </c>
      <c r="Z118" s="2">
        <v>97.7</v>
      </c>
      <c r="AA118">
        <v>1</v>
      </c>
      <c r="AB118" s="2">
        <v>97.1</v>
      </c>
      <c r="AC118">
        <v>1</v>
      </c>
    </row>
    <row r="119" spans="1:29" x14ac:dyDescent="0.3">
      <c r="A119" s="1">
        <f t="shared" si="1"/>
        <v>118</v>
      </c>
      <c r="B119">
        <v>2</v>
      </c>
      <c r="C119">
        <v>807.9</v>
      </c>
      <c r="D119">
        <v>176.1</v>
      </c>
      <c r="E119">
        <v>180.9</v>
      </c>
      <c r="F119">
        <v>215</v>
      </c>
      <c r="G119">
        <v>23</v>
      </c>
      <c r="H119">
        <v>65</v>
      </c>
      <c r="I119">
        <v>712</v>
      </c>
      <c r="J119">
        <v>34.24</v>
      </c>
      <c r="K119">
        <v>16.71</v>
      </c>
      <c r="L119">
        <v>0.24779999999999999</v>
      </c>
      <c r="M119">
        <v>2.0999999999999999E-3</v>
      </c>
      <c r="N119">
        <v>0.64880000000000004</v>
      </c>
      <c r="O119">
        <v>0.67020000000000002</v>
      </c>
      <c r="P119">
        <v>383.73</v>
      </c>
      <c r="Q119">
        <v>11011.9</v>
      </c>
      <c r="R119">
        <v>3.72</v>
      </c>
      <c r="S119">
        <v>27.31</v>
      </c>
      <c r="T119">
        <v>0.21590000000000001</v>
      </c>
      <c r="U119">
        <v>1.5177</v>
      </c>
      <c r="V119">
        <v>13.1434</v>
      </c>
      <c r="W119">
        <v>0.7772</v>
      </c>
      <c r="X119">
        <v>9.4200000000000006E-2</v>
      </c>
      <c r="Y119">
        <v>1.8203</v>
      </c>
      <c r="Z119" s="2">
        <v>96</v>
      </c>
      <c r="AA119">
        <v>1</v>
      </c>
      <c r="AB119" s="2">
        <v>96.1</v>
      </c>
      <c r="AC119">
        <v>1</v>
      </c>
    </row>
    <row r="120" spans="1:29" x14ac:dyDescent="0.3">
      <c r="A120" s="1">
        <f t="shared" si="1"/>
        <v>119</v>
      </c>
      <c r="B120">
        <v>2</v>
      </c>
      <c r="C120">
        <v>692.1</v>
      </c>
      <c r="D120">
        <v>161.9</v>
      </c>
      <c r="E120">
        <v>99.6</v>
      </c>
      <c r="F120">
        <v>95</v>
      </c>
      <c r="G120">
        <v>31</v>
      </c>
      <c r="H120">
        <v>49</v>
      </c>
      <c r="I120">
        <v>532</v>
      </c>
      <c r="J120">
        <v>23.67</v>
      </c>
      <c r="K120">
        <v>14.01</v>
      </c>
      <c r="L120">
        <v>0.1943</v>
      </c>
      <c r="M120">
        <v>1.6999999999999999E-3</v>
      </c>
      <c r="N120">
        <v>0.44629999999999997</v>
      </c>
      <c r="O120">
        <v>0.90969999999999995</v>
      </c>
      <c r="P120">
        <v>369.38</v>
      </c>
      <c r="Q120">
        <v>7735.71</v>
      </c>
      <c r="R120">
        <v>3.14</v>
      </c>
      <c r="S120">
        <v>86.3</v>
      </c>
      <c r="T120">
        <v>0.31019999999999998</v>
      </c>
      <c r="U120">
        <v>0.99260000000000004</v>
      </c>
      <c r="V120">
        <v>5.5106000000000002</v>
      </c>
      <c r="W120">
        <v>0.71450000000000002</v>
      </c>
      <c r="X120">
        <v>8.9099999999999999E-2</v>
      </c>
      <c r="Y120">
        <v>1.6635</v>
      </c>
      <c r="Z120" s="2">
        <v>86.5</v>
      </c>
      <c r="AA120">
        <v>0</v>
      </c>
      <c r="AB120" s="2">
        <v>83.6</v>
      </c>
      <c r="AC120">
        <v>0</v>
      </c>
    </row>
    <row r="121" spans="1:29" x14ac:dyDescent="0.3">
      <c r="A121" s="1">
        <f t="shared" si="1"/>
        <v>120</v>
      </c>
      <c r="B121">
        <v>2</v>
      </c>
      <c r="C121">
        <v>589.4</v>
      </c>
      <c r="D121">
        <v>179.7</v>
      </c>
      <c r="E121">
        <v>154.9</v>
      </c>
      <c r="F121">
        <v>155</v>
      </c>
      <c r="G121">
        <v>39</v>
      </c>
      <c r="H121">
        <v>69</v>
      </c>
      <c r="I121">
        <v>712</v>
      </c>
      <c r="J121">
        <v>25.7</v>
      </c>
      <c r="K121">
        <v>12.8</v>
      </c>
      <c r="L121">
        <v>0.23549999999999999</v>
      </c>
      <c r="M121">
        <v>4.5999999999999999E-3</v>
      </c>
      <c r="N121">
        <v>0.77880000000000005</v>
      </c>
      <c r="O121">
        <v>0.95609999999999995</v>
      </c>
      <c r="P121">
        <v>308.87</v>
      </c>
      <c r="Q121">
        <v>6476.57</v>
      </c>
      <c r="R121">
        <v>3.81</v>
      </c>
      <c r="S121">
        <v>32.58</v>
      </c>
      <c r="T121">
        <v>0.24540000000000001</v>
      </c>
      <c r="U121">
        <v>0.95350000000000001</v>
      </c>
      <c r="V121">
        <v>8.5642999999999994</v>
      </c>
      <c r="W121">
        <v>0.82950000000000002</v>
      </c>
      <c r="X121">
        <v>9.3600000000000003E-2</v>
      </c>
      <c r="Y121">
        <v>2.0503</v>
      </c>
      <c r="Z121" s="2">
        <v>88.7</v>
      </c>
      <c r="AA121">
        <v>0</v>
      </c>
      <c r="AB121" s="2">
        <v>84.1</v>
      </c>
      <c r="AC121">
        <v>0</v>
      </c>
    </row>
    <row r="122" spans="1:29" x14ac:dyDescent="0.3">
      <c r="A122" s="1">
        <f t="shared" si="1"/>
        <v>121</v>
      </c>
      <c r="B122">
        <v>3</v>
      </c>
      <c r="C122">
        <v>657.9</v>
      </c>
      <c r="D122">
        <v>165.9</v>
      </c>
      <c r="E122">
        <v>212.7</v>
      </c>
      <c r="F122">
        <v>230</v>
      </c>
      <c r="G122">
        <v>10</v>
      </c>
      <c r="H122">
        <v>33</v>
      </c>
      <c r="I122">
        <v>712</v>
      </c>
      <c r="J122">
        <v>40.14</v>
      </c>
      <c r="K122">
        <v>21</v>
      </c>
      <c r="L122">
        <v>0.24840000000000001</v>
      </c>
      <c r="M122">
        <v>0</v>
      </c>
      <c r="N122">
        <v>0.6482</v>
      </c>
      <c r="O122">
        <v>0.77969999999999995</v>
      </c>
      <c r="P122">
        <v>316.27</v>
      </c>
      <c r="Q122">
        <v>7985.08</v>
      </c>
      <c r="R122">
        <v>4.05</v>
      </c>
      <c r="S122">
        <v>23.39</v>
      </c>
      <c r="T122">
        <v>0.1991</v>
      </c>
      <c r="U122">
        <v>1.2602</v>
      </c>
      <c r="V122">
        <v>7.6481000000000003</v>
      </c>
      <c r="W122">
        <v>0.8135</v>
      </c>
      <c r="X122">
        <v>5.6599999999999998E-2</v>
      </c>
      <c r="Y122">
        <v>1.675</v>
      </c>
      <c r="Z122" s="2">
        <v>95</v>
      </c>
      <c r="AA122">
        <v>1</v>
      </c>
      <c r="AB122" s="2">
        <v>91.8</v>
      </c>
      <c r="AC122">
        <v>1</v>
      </c>
    </row>
    <row r="123" spans="1:29" x14ac:dyDescent="0.3">
      <c r="A123" s="1">
        <f t="shared" si="1"/>
        <v>122</v>
      </c>
      <c r="B123">
        <v>1</v>
      </c>
      <c r="C123">
        <v>720.7</v>
      </c>
      <c r="D123">
        <v>210.5</v>
      </c>
      <c r="E123">
        <v>200.1</v>
      </c>
      <c r="F123">
        <v>200</v>
      </c>
      <c r="G123">
        <v>30</v>
      </c>
      <c r="H123">
        <v>69</v>
      </c>
      <c r="I123">
        <v>712</v>
      </c>
      <c r="J123">
        <v>34.9</v>
      </c>
      <c r="K123">
        <v>14.09</v>
      </c>
      <c r="L123">
        <v>0.2482</v>
      </c>
      <c r="M123">
        <v>4.4000000000000003E-3</v>
      </c>
      <c r="N123">
        <v>1.0489999999999999</v>
      </c>
      <c r="O123">
        <v>0.72440000000000004</v>
      </c>
      <c r="P123">
        <v>291.07</v>
      </c>
      <c r="Q123">
        <v>8007.06</v>
      </c>
      <c r="R123">
        <v>3.31</v>
      </c>
      <c r="S123">
        <v>11.41</v>
      </c>
      <c r="T123">
        <v>0.22969999999999999</v>
      </c>
      <c r="U123">
        <v>1.2351000000000001</v>
      </c>
      <c r="V123">
        <v>11.194599999999999</v>
      </c>
      <c r="W123">
        <v>0.79910000000000003</v>
      </c>
      <c r="X123">
        <v>8.7800000000000003E-2</v>
      </c>
      <c r="Y123">
        <v>3.3605999999999998</v>
      </c>
      <c r="Z123" s="2">
        <v>96</v>
      </c>
      <c r="AA123">
        <v>1</v>
      </c>
      <c r="AB123" s="2">
        <v>94.2</v>
      </c>
      <c r="AC123">
        <v>1</v>
      </c>
    </row>
    <row r="124" spans="1:29" x14ac:dyDescent="0.3">
      <c r="A124" s="1">
        <f t="shared" si="1"/>
        <v>123</v>
      </c>
      <c r="B124">
        <v>3</v>
      </c>
      <c r="C124">
        <v>698.7</v>
      </c>
      <c r="D124">
        <v>184.4</v>
      </c>
      <c r="E124">
        <v>202.4</v>
      </c>
      <c r="F124">
        <v>195</v>
      </c>
      <c r="G124">
        <v>13</v>
      </c>
      <c r="H124">
        <v>32</v>
      </c>
      <c r="I124">
        <v>712</v>
      </c>
      <c r="J124">
        <v>40.33</v>
      </c>
      <c r="K124">
        <v>22.8</v>
      </c>
      <c r="L124">
        <v>0.21879999999999999</v>
      </c>
      <c r="M124">
        <v>0</v>
      </c>
      <c r="N124">
        <v>0.52290000000000003</v>
      </c>
      <c r="O124">
        <v>0.8034</v>
      </c>
      <c r="P124">
        <v>309.62</v>
      </c>
      <c r="Q124">
        <v>6643.72</v>
      </c>
      <c r="R124">
        <v>3.7</v>
      </c>
      <c r="S124">
        <v>21.91</v>
      </c>
      <c r="T124">
        <v>0.2505</v>
      </c>
      <c r="U124">
        <v>0.9798</v>
      </c>
      <c r="V124">
        <v>5.5709</v>
      </c>
      <c r="W124">
        <v>0.81859999999999999</v>
      </c>
      <c r="X124">
        <v>5.1700000000000003E-2</v>
      </c>
      <c r="Y124">
        <v>1.46</v>
      </c>
      <c r="Z124" s="2">
        <v>98.1</v>
      </c>
      <c r="AA124">
        <v>1</v>
      </c>
      <c r="AB124" s="2">
        <v>99.2</v>
      </c>
      <c r="AC124">
        <v>1</v>
      </c>
    </row>
    <row r="125" spans="1:29" x14ac:dyDescent="0.3">
      <c r="A125" s="1">
        <f t="shared" si="1"/>
        <v>124</v>
      </c>
      <c r="B125">
        <v>1</v>
      </c>
      <c r="C125">
        <v>604.4</v>
      </c>
      <c r="D125">
        <v>116.1</v>
      </c>
      <c r="E125">
        <v>108</v>
      </c>
      <c r="F125">
        <v>85</v>
      </c>
      <c r="G125">
        <v>30</v>
      </c>
      <c r="H125">
        <v>46</v>
      </c>
      <c r="I125">
        <v>472</v>
      </c>
      <c r="J125">
        <v>25.11</v>
      </c>
      <c r="K125">
        <v>13.91</v>
      </c>
      <c r="L125">
        <v>0.24010000000000001</v>
      </c>
      <c r="M125">
        <v>3.5000000000000001E-3</v>
      </c>
      <c r="N125">
        <v>0.45700000000000002</v>
      </c>
      <c r="O125">
        <v>0.84199999999999997</v>
      </c>
      <c r="P125">
        <v>363.11</v>
      </c>
      <c r="Q125">
        <v>6340.6</v>
      </c>
      <c r="R125">
        <v>3.85</v>
      </c>
      <c r="S125">
        <v>19.63</v>
      </c>
      <c r="T125">
        <v>0.25319999999999998</v>
      </c>
      <c r="U125">
        <v>1.0932999999999999</v>
      </c>
      <c r="V125">
        <v>5.5053999999999998</v>
      </c>
      <c r="W125">
        <v>0.7409</v>
      </c>
      <c r="X125">
        <v>0.10539999999999999</v>
      </c>
      <c r="Y125">
        <v>1.25</v>
      </c>
      <c r="Z125" s="2">
        <v>97.2</v>
      </c>
      <c r="AA125">
        <v>1</v>
      </c>
      <c r="AB125" s="2">
        <v>96.7</v>
      </c>
      <c r="AC125">
        <v>1</v>
      </c>
    </row>
    <row r="126" spans="1:29" x14ac:dyDescent="0.3">
      <c r="A126" s="1">
        <f t="shared" si="1"/>
        <v>125</v>
      </c>
      <c r="B126">
        <v>2</v>
      </c>
      <c r="C126">
        <v>1199.7</v>
      </c>
      <c r="D126">
        <v>269.10000000000002</v>
      </c>
      <c r="E126">
        <v>194.6</v>
      </c>
      <c r="F126">
        <v>230</v>
      </c>
      <c r="G126">
        <v>18</v>
      </c>
      <c r="H126">
        <v>63</v>
      </c>
      <c r="I126">
        <v>1064</v>
      </c>
      <c r="J126">
        <v>21.09</v>
      </c>
      <c r="K126">
        <v>8.01</v>
      </c>
      <c r="L126">
        <v>0.30919999999999997</v>
      </c>
      <c r="M126">
        <v>8.0000000000000002E-3</v>
      </c>
      <c r="N126">
        <v>0.60199999999999998</v>
      </c>
      <c r="O126">
        <v>0.8478</v>
      </c>
      <c r="P126">
        <v>379.9</v>
      </c>
      <c r="Q126">
        <v>12190.13</v>
      </c>
      <c r="R126">
        <v>3.57</v>
      </c>
      <c r="S126">
        <v>45.55</v>
      </c>
      <c r="T126">
        <v>0.1399</v>
      </c>
      <c r="U126">
        <v>1.4850000000000001</v>
      </c>
      <c r="V126">
        <v>16.021000000000001</v>
      </c>
      <c r="W126">
        <v>0.87639999999999996</v>
      </c>
      <c r="X126">
        <v>0.1215</v>
      </c>
      <c r="Y126">
        <v>1.6920999999999999</v>
      </c>
      <c r="Z126" s="2">
        <v>90.2</v>
      </c>
      <c r="AA126">
        <v>1</v>
      </c>
      <c r="AB126" s="2">
        <v>86.3</v>
      </c>
      <c r="AC126">
        <v>0</v>
      </c>
    </row>
    <row r="127" spans="1:29" x14ac:dyDescent="0.3">
      <c r="A127" s="1">
        <f t="shared" si="1"/>
        <v>126</v>
      </c>
      <c r="B127">
        <v>1</v>
      </c>
      <c r="C127">
        <v>598.20000000000005</v>
      </c>
      <c r="D127">
        <v>115.9</v>
      </c>
      <c r="E127">
        <v>123.9</v>
      </c>
      <c r="F127">
        <v>105</v>
      </c>
      <c r="G127">
        <v>30</v>
      </c>
      <c r="H127">
        <v>50</v>
      </c>
      <c r="I127">
        <v>472</v>
      </c>
      <c r="J127">
        <v>27.5</v>
      </c>
      <c r="K127">
        <v>13.43</v>
      </c>
      <c r="L127">
        <v>0.253</v>
      </c>
      <c r="M127">
        <v>5.8999999999999999E-3</v>
      </c>
      <c r="N127">
        <v>0.52490000000000003</v>
      </c>
      <c r="O127">
        <v>0.7671</v>
      </c>
      <c r="P127">
        <v>367.84</v>
      </c>
      <c r="Q127">
        <v>6560.63</v>
      </c>
      <c r="R127">
        <v>3.89</v>
      </c>
      <c r="S127">
        <v>31.51</v>
      </c>
      <c r="T127">
        <v>0.23269999999999999</v>
      </c>
      <c r="U127">
        <v>1.2025999999999999</v>
      </c>
      <c r="V127">
        <v>6.7127999999999997</v>
      </c>
      <c r="W127">
        <v>0.75149999999999995</v>
      </c>
      <c r="X127">
        <v>0.10340000000000001</v>
      </c>
      <c r="Y127">
        <v>1.4507000000000001</v>
      </c>
      <c r="Z127" s="2">
        <v>95.4</v>
      </c>
      <c r="AA127">
        <v>1</v>
      </c>
      <c r="AB127" s="2">
        <v>95.8</v>
      </c>
      <c r="AC127">
        <v>1</v>
      </c>
    </row>
    <row r="128" spans="1:29" x14ac:dyDescent="0.3">
      <c r="A128" s="1">
        <f t="shared" si="1"/>
        <v>127</v>
      </c>
      <c r="B128">
        <v>2</v>
      </c>
      <c r="C128">
        <v>849</v>
      </c>
      <c r="D128">
        <v>248.5</v>
      </c>
      <c r="E128">
        <v>222.4</v>
      </c>
      <c r="F128">
        <v>245</v>
      </c>
      <c r="G128">
        <v>21</v>
      </c>
      <c r="H128">
        <v>74</v>
      </c>
      <c r="I128">
        <v>1068</v>
      </c>
      <c r="J128">
        <v>36.75</v>
      </c>
      <c r="K128">
        <v>13.72</v>
      </c>
      <c r="L128">
        <v>0.24210000000000001</v>
      </c>
      <c r="M128">
        <v>5.7000000000000002E-3</v>
      </c>
      <c r="N128">
        <v>0.73980000000000001</v>
      </c>
      <c r="O128">
        <v>0.83220000000000005</v>
      </c>
      <c r="P128">
        <v>308.38</v>
      </c>
      <c r="Q128">
        <v>9055.2800000000007</v>
      </c>
      <c r="R128">
        <v>4.25</v>
      </c>
      <c r="S128">
        <v>16.579999999999998</v>
      </c>
      <c r="T128">
        <v>0.20330000000000001</v>
      </c>
      <c r="U128">
        <v>1.2747999999999999</v>
      </c>
      <c r="V128">
        <v>12.5562</v>
      </c>
      <c r="W128">
        <v>0.83730000000000004</v>
      </c>
      <c r="X128">
        <v>8.6300000000000002E-2</v>
      </c>
      <c r="Y128">
        <v>1.8075000000000001</v>
      </c>
      <c r="Z128" s="2">
        <v>97.5</v>
      </c>
      <c r="AA128">
        <v>1</v>
      </c>
      <c r="AB128" s="2">
        <v>95.2</v>
      </c>
      <c r="AC128">
        <v>1</v>
      </c>
    </row>
    <row r="129" spans="1:29" x14ac:dyDescent="0.3">
      <c r="A129" s="1">
        <f t="shared" si="1"/>
        <v>128</v>
      </c>
      <c r="B129">
        <v>1</v>
      </c>
      <c r="C129">
        <v>744.3</v>
      </c>
      <c r="D129">
        <v>130.5</v>
      </c>
      <c r="E129">
        <v>162</v>
      </c>
      <c r="F129">
        <v>180</v>
      </c>
      <c r="G129">
        <v>30</v>
      </c>
      <c r="H129">
        <v>65</v>
      </c>
      <c r="I129">
        <v>472</v>
      </c>
      <c r="J129">
        <v>24.24</v>
      </c>
      <c r="K129">
        <v>9.5500000000000007</v>
      </c>
      <c r="L129">
        <v>0.27689999999999998</v>
      </c>
      <c r="M129">
        <v>1.0200000000000001E-2</v>
      </c>
      <c r="N129">
        <v>0.51419999999999999</v>
      </c>
      <c r="O129">
        <v>0.7177</v>
      </c>
      <c r="P129">
        <v>393.62</v>
      </c>
      <c r="Q129">
        <v>6852.34</v>
      </c>
      <c r="R129">
        <v>3.3</v>
      </c>
      <c r="S129">
        <v>39.89</v>
      </c>
      <c r="T129">
        <v>0.1946</v>
      </c>
      <c r="U129">
        <v>1.2783</v>
      </c>
      <c r="V129">
        <v>11.4796</v>
      </c>
      <c r="W129">
        <v>0.82520000000000004</v>
      </c>
      <c r="X129">
        <v>0.1038</v>
      </c>
      <c r="Y129">
        <v>1.6027</v>
      </c>
      <c r="Z129" s="2">
        <v>88.5</v>
      </c>
      <c r="AA129">
        <v>0</v>
      </c>
      <c r="AB129" s="2">
        <v>87.5</v>
      </c>
      <c r="AC129">
        <v>0</v>
      </c>
    </row>
    <row r="130" spans="1:29" x14ac:dyDescent="0.3">
      <c r="A130" s="1">
        <f t="shared" si="1"/>
        <v>129</v>
      </c>
      <c r="B130">
        <v>1</v>
      </c>
      <c r="C130">
        <v>657.2</v>
      </c>
      <c r="D130">
        <v>196.8</v>
      </c>
      <c r="E130">
        <v>120.2</v>
      </c>
      <c r="F130">
        <v>100</v>
      </c>
      <c r="G130">
        <v>32</v>
      </c>
      <c r="H130">
        <v>51</v>
      </c>
      <c r="I130">
        <v>712</v>
      </c>
      <c r="J130">
        <v>25.63</v>
      </c>
      <c r="K130">
        <v>11.63</v>
      </c>
      <c r="L130">
        <v>0.2661</v>
      </c>
      <c r="M130">
        <v>5.4999999999999997E-3</v>
      </c>
      <c r="N130">
        <v>0.64149999999999996</v>
      </c>
      <c r="O130">
        <v>0.94089999999999996</v>
      </c>
      <c r="P130">
        <v>288.47000000000003</v>
      </c>
      <c r="Q130">
        <v>7126.72</v>
      </c>
      <c r="R130">
        <v>3.62</v>
      </c>
      <c r="S130">
        <v>41.94</v>
      </c>
      <c r="T130">
        <v>0.24690000000000001</v>
      </c>
      <c r="U130">
        <v>0.91200000000000003</v>
      </c>
      <c r="V130">
        <v>6.6029999999999998</v>
      </c>
      <c r="W130">
        <v>0.75480000000000003</v>
      </c>
      <c r="X130">
        <v>0.107</v>
      </c>
      <c r="Y130">
        <v>2.0749</v>
      </c>
      <c r="Z130" s="2">
        <v>95.8</v>
      </c>
      <c r="AA130">
        <v>1</v>
      </c>
      <c r="AB130" s="2">
        <v>88.5</v>
      </c>
      <c r="AC130">
        <v>0</v>
      </c>
    </row>
    <row r="131" spans="1:29" x14ac:dyDescent="0.3">
      <c r="A131" s="1">
        <f t="shared" si="1"/>
        <v>130</v>
      </c>
      <c r="B131">
        <v>2</v>
      </c>
      <c r="C131">
        <v>909.4</v>
      </c>
      <c r="D131">
        <v>171.9</v>
      </c>
      <c r="E131">
        <v>89.5</v>
      </c>
      <c r="F131">
        <v>105</v>
      </c>
      <c r="G131">
        <v>32</v>
      </c>
      <c r="H131">
        <v>52</v>
      </c>
      <c r="I131">
        <v>712</v>
      </c>
      <c r="J131">
        <v>28.06</v>
      </c>
      <c r="K131">
        <v>14.98</v>
      </c>
      <c r="L131">
        <v>0.2165</v>
      </c>
      <c r="M131">
        <v>0</v>
      </c>
      <c r="N131">
        <v>0.36749999999999999</v>
      </c>
      <c r="O131">
        <v>0.91739999999999999</v>
      </c>
      <c r="P131">
        <v>370.85</v>
      </c>
      <c r="Q131">
        <v>6527.18</v>
      </c>
      <c r="R131">
        <v>3.96</v>
      </c>
      <c r="S131">
        <v>19.940000000000001</v>
      </c>
      <c r="T131">
        <v>0.30959999999999999</v>
      </c>
      <c r="U131">
        <v>0.93010000000000004</v>
      </c>
      <c r="V131">
        <v>5.9161999999999999</v>
      </c>
      <c r="W131">
        <v>0.63429999999999997</v>
      </c>
      <c r="X131">
        <v>9.11E-2</v>
      </c>
      <c r="Y131">
        <v>1.0021</v>
      </c>
      <c r="Z131" s="2">
        <v>96.4</v>
      </c>
      <c r="AA131">
        <v>1</v>
      </c>
      <c r="AB131" s="2">
        <v>94.8</v>
      </c>
      <c r="AC131">
        <v>1</v>
      </c>
    </row>
    <row r="132" spans="1:29" x14ac:dyDescent="0.3">
      <c r="A132" s="1">
        <f t="shared" ref="A132:A151" si="2">A131+1</f>
        <v>131</v>
      </c>
      <c r="B132">
        <v>2</v>
      </c>
      <c r="C132">
        <v>1294</v>
      </c>
      <c r="D132">
        <v>270.39999999999998</v>
      </c>
      <c r="E132">
        <v>301.10000000000002</v>
      </c>
      <c r="F132">
        <v>315</v>
      </c>
      <c r="G132">
        <v>12</v>
      </c>
      <c r="H132">
        <v>74</v>
      </c>
      <c r="I132">
        <v>1064</v>
      </c>
      <c r="J132">
        <v>21.36</v>
      </c>
      <c r="K132">
        <v>8.0299999999999994</v>
      </c>
      <c r="L132">
        <v>0.31519999999999998</v>
      </c>
      <c r="M132">
        <v>6.8999999999999999E-3</v>
      </c>
      <c r="N132">
        <v>0.64800000000000002</v>
      </c>
      <c r="O132">
        <v>0.89929999999999999</v>
      </c>
      <c r="P132">
        <v>366.3</v>
      </c>
      <c r="Q132">
        <v>10412.52</v>
      </c>
      <c r="R132">
        <v>3.8</v>
      </c>
      <c r="S132">
        <v>50.42</v>
      </c>
      <c r="T132">
        <v>9.6600000000000005E-2</v>
      </c>
      <c r="U132">
        <v>1.3487</v>
      </c>
      <c r="V132">
        <v>21.528400000000001</v>
      </c>
      <c r="W132">
        <v>0.91159999999999997</v>
      </c>
      <c r="X132">
        <v>0.1235</v>
      </c>
      <c r="Y132">
        <v>1.7497</v>
      </c>
      <c r="Z132" s="2">
        <v>89.4</v>
      </c>
      <c r="AA132">
        <v>0</v>
      </c>
      <c r="AB132" s="2">
        <v>88.1</v>
      </c>
      <c r="AC132">
        <v>0</v>
      </c>
    </row>
    <row r="133" spans="1:29" x14ac:dyDescent="0.3">
      <c r="A133" s="1">
        <f t="shared" si="2"/>
        <v>132</v>
      </c>
      <c r="B133">
        <v>2</v>
      </c>
      <c r="C133">
        <v>996.5</v>
      </c>
      <c r="D133">
        <v>182.2</v>
      </c>
      <c r="E133">
        <v>181.3</v>
      </c>
      <c r="F133">
        <v>220</v>
      </c>
      <c r="G133">
        <v>22</v>
      </c>
      <c r="H133">
        <v>65</v>
      </c>
      <c r="I133">
        <v>712</v>
      </c>
      <c r="J133">
        <v>27.26</v>
      </c>
      <c r="K133">
        <v>10.57</v>
      </c>
      <c r="L133">
        <v>0.28670000000000001</v>
      </c>
      <c r="M133">
        <v>5.1000000000000004E-3</v>
      </c>
      <c r="N133">
        <v>0.68220000000000003</v>
      </c>
      <c r="O133">
        <v>0.65939999999999999</v>
      </c>
      <c r="P133">
        <v>402.74</v>
      </c>
      <c r="Q133">
        <v>10613.45</v>
      </c>
      <c r="R133">
        <v>3.65</v>
      </c>
      <c r="S133">
        <v>37.909999999999997</v>
      </c>
      <c r="T133">
        <v>0.1802</v>
      </c>
      <c r="U133">
        <v>1.665</v>
      </c>
      <c r="V133">
        <v>14.546900000000001</v>
      </c>
      <c r="W133">
        <v>0.82389999999999997</v>
      </c>
      <c r="X133">
        <v>0.1043</v>
      </c>
      <c r="Y133">
        <v>1.9262999999999999</v>
      </c>
      <c r="Z133" s="2">
        <v>93.4</v>
      </c>
      <c r="AA133">
        <v>1</v>
      </c>
      <c r="AB133" s="2">
        <v>89.9</v>
      </c>
      <c r="AC133">
        <v>0</v>
      </c>
    </row>
    <row r="134" spans="1:29" x14ac:dyDescent="0.3">
      <c r="A134" s="1">
        <f t="shared" si="2"/>
        <v>133</v>
      </c>
      <c r="B134">
        <v>2</v>
      </c>
      <c r="C134">
        <v>1099.3</v>
      </c>
      <c r="D134">
        <v>247.7</v>
      </c>
      <c r="E134">
        <v>207.7</v>
      </c>
      <c r="F134">
        <v>220</v>
      </c>
      <c r="G134">
        <v>20</v>
      </c>
      <c r="H134">
        <v>66</v>
      </c>
      <c r="I134">
        <v>1064</v>
      </c>
      <c r="J134">
        <v>26.3</v>
      </c>
      <c r="K134">
        <v>10.38</v>
      </c>
      <c r="L134">
        <v>0.27289999999999998</v>
      </c>
      <c r="M134">
        <v>6.7000000000000002E-3</v>
      </c>
      <c r="N134">
        <v>0.72060000000000002</v>
      </c>
      <c r="O134">
        <v>0.83589999999999998</v>
      </c>
      <c r="P134">
        <v>352.97</v>
      </c>
      <c r="Q134">
        <v>9164.1200000000008</v>
      </c>
      <c r="R134">
        <v>4.13</v>
      </c>
      <c r="S134">
        <v>20.58</v>
      </c>
      <c r="T134">
        <v>0.16619999999999999</v>
      </c>
      <c r="U134">
        <v>1.3483000000000001</v>
      </c>
      <c r="V134">
        <v>13.4214</v>
      </c>
      <c r="W134">
        <v>0.85840000000000005</v>
      </c>
      <c r="X134">
        <v>0.1043</v>
      </c>
      <c r="Y134">
        <v>1.7508999999999999</v>
      </c>
      <c r="Z134" s="2">
        <v>89.4</v>
      </c>
      <c r="AA134">
        <v>0</v>
      </c>
      <c r="AB134" s="2">
        <v>86.3</v>
      </c>
      <c r="AC134">
        <v>0</v>
      </c>
    </row>
    <row r="135" spans="1:29" x14ac:dyDescent="0.3">
      <c r="A135" s="1">
        <f t="shared" si="2"/>
        <v>134</v>
      </c>
      <c r="B135">
        <v>1</v>
      </c>
      <c r="C135">
        <v>778.6</v>
      </c>
      <c r="D135">
        <v>230.8</v>
      </c>
      <c r="E135">
        <v>205</v>
      </c>
      <c r="F135">
        <v>210</v>
      </c>
      <c r="G135">
        <v>32</v>
      </c>
      <c r="H135">
        <v>73</v>
      </c>
      <c r="I135">
        <v>712</v>
      </c>
      <c r="J135">
        <v>28.2</v>
      </c>
      <c r="K135">
        <v>10.94</v>
      </c>
      <c r="L135">
        <v>0.26490000000000002</v>
      </c>
      <c r="M135">
        <v>5.4000000000000003E-3</v>
      </c>
      <c r="N135">
        <v>0.81979999999999997</v>
      </c>
      <c r="O135">
        <v>0.73519999999999996</v>
      </c>
      <c r="P135">
        <v>294.69</v>
      </c>
      <c r="Q135">
        <v>10046.36</v>
      </c>
      <c r="R135">
        <v>3.01</v>
      </c>
      <c r="S135">
        <v>12.99</v>
      </c>
      <c r="T135">
        <v>0.191</v>
      </c>
      <c r="U135">
        <v>1.0662</v>
      </c>
      <c r="V135">
        <v>13.806699999999999</v>
      </c>
      <c r="W135">
        <v>0.82120000000000004</v>
      </c>
      <c r="X135">
        <v>0.1018</v>
      </c>
      <c r="Y135">
        <v>2.8521000000000001</v>
      </c>
      <c r="Z135" s="2">
        <v>95.5</v>
      </c>
      <c r="AA135">
        <v>1</v>
      </c>
      <c r="AB135" s="2">
        <v>80.5</v>
      </c>
      <c r="AC135">
        <v>0</v>
      </c>
    </row>
    <row r="136" spans="1:29" x14ac:dyDescent="0.3">
      <c r="A136" s="1">
        <f t="shared" si="2"/>
        <v>135</v>
      </c>
      <c r="B136">
        <v>2</v>
      </c>
      <c r="C136">
        <v>717.4</v>
      </c>
      <c r="D136">
        <v>170.2</v>
      </c>
      <c r="E136">
        <v>97.5</v>
      </c>
      <c r="F136">
        <v>95</v>
      </c>
      <c r="G136">
        <v>30</v>
      </c>
      <c r="H136">
        <v>48</v>
      </c>
      <c r="I136">
        <v>712</v>
      </c>
      <c r="J136">
        <v>19.399999999999999</v>
      </c>
      <c r="K136">
        <v>7.55</v>
      </c>
      <c r="L136">
        <v>0.25040000000000001</v>
      </c>
      <c r="M136">
        <v>4.7000000000000002E-3</v>
      </c>
      <c r="N136">
        <v>0.34139999999999998</v>
      </c>
      <c r="O136">
        <v>0.9718</v>
      </c>
      <c r="P136">
        <v>360.59</v>
      </c>
      <c r="Q136">
        <v>7649</v>
      </c>
      <c r="R136">
        <v>3.89</v>
      </c>
      <c r="S136">
        <v>13.19</v>
      </c>
      <c r="T136">
        <v>0.25530000000000003</v>
      </c>
      <c r="U136">
        <v>0.90110000000000001</v>
      </c>
      <c r="V136">
        <v>6.2080000000000002</v>
      </c>
      <c r="W136">
        <v>0.79020000000000001</v>
      </c>
      <c r="X136">
        <v>0.1074</v>
      </c>
      <c r="Y136">
        <v>0.97009999999999996</v>
      </c>
      <c r="Z136" s="2">
        <v>96.4</v>
      </c>
      <c r="AA136">
        <v>1</v>
      </c>
      <c r="AB136" s="2">
        <v>91.3</v>
      </c>
      <c r="AC136">
        <v>1</v>
      </c>
    </row>
    <row r="137" spans="1:29" x14ac:dyDescent="0.3">
      <c r="A137" s="1">
        <f t="shared" si="2"/>
        <v>136</v>
      </c>
      <c r="B137">
        <v>2</v>
      </c>
      <c r="C137">
        <v>443.2</v>
      </c>
      <c r="D137">
        <v>92.2</v>
      </c>
      <c r="E137">
        <v>87.6</v>
      </c>
      <c r="F137">
        <v>80</v>
      </c>
      <c r="G137">
        <v>32</v>
      </c>
      <c r="H137">
        <v>47</v>
      </c>
      <c r="I137">
        <v>356</v>
      </c>
      <c r="J137">
        <v>32.590000000000003</v>
      </c>
      <c r="K137">
        <v>22.04</v>
      </c>
      <c r="L137">
        <v>0.1741</v>
      </c>
      <c r="M137">
        <v>1.2999999999999999E-3</v>
      </c>
      <c r="N137">
        <v>0.69469999999999998</v>
      </c>
      <c r="O137">
        <v>1.0123</v>
      </c>
      <c r="P137">
        <v>371.01</v>
      </c>
      <c r="Q137">
        <v>11293.09</v>
      </c>
      <c r="R137">
        <v>3.72</v>
      </c>
      <c r="S137">
        <v>49.45</v>
      </c>
      <c r="T137">
        <v>0.2712</v>
      </c>
      <c r="U137">
        <v>1.2244999999999999</v>
      </c>
      <c r="V137">
        <v>2.9815999999999998</v>
      </c>
      <c r="W137">
        <v>0.71230000000000004</v>
      </c>
      <c r="X137">
        <v>8.8800000000000004E-2</v>
      </c>
      <c r="Y137">
        <v>2.0585</v>
      </c>
      <c r="Z137" s="2">
        <v>85.5</v>
      </c>
      <c r="AA137">
        <v>0</v>
      </c>
      <c r="AB137" s="2">
        <v>81.599999999999994</v>
      </c>
      <c r="AC137">
        <v>0</v>
      </c>
    </row>
    <row r="138" spans="1:29" x14ac:dyDescent="0.3">
      <c r="A138" s="1">
        <f t="shared" si="2"/>
        <v>137</v>
      </c>
      <c r="B138">
        <v>2</v>
      </c>
      <c r="C138">
        <v>936.3</v>
      </c>
      <c r="D138">
        <v>190.3</v>
      </c>
      <c r="E138">
        <v>84.6</v>
      </c>
      <c r="F138">
        <v>95</v>
      </c>
      <c r="G138">
        <v>32</v>
      </c>
      <c r="H138">
        <v>50</v>
      </c>
      <c r="I138">
        <v>712</v>
      </c>
      <c r="J138">
        <v>24.04</v>
      </c>
      <c r="K138">
        <v>12.71</v>
      </c>
      <c r="L138">
        <v>0.23730000000000001</v>
      </c>
      <c r="M138">
        <v>1.6999999999999999E-3</v>
      </c>
      <c r="N138">
        <v>0.37490000000000001</v>
      </c>
      <c r="O138">
        <v>1.4825999999999999</v>
      </c>
      <c r="P138">
        <v>357.56</v>
      </c>
      <c r="Q138">
        <v>7359.65</v>
      </c>
      <c r="R138">
        <v>3.54</v>
      </c>
      <c r="S138">
        <v>55.34</v>
      </c>
      <c r="T138">
        <v>0.2762</v>
      </c>
      <c r="U138">
        <v>0.74629999999999996</v>
      </c>
      <c r="V138">
        <v>5.3781999999999996</v>
      </c>
      <c r="W138">
        <v>0.66559999999999997</v>
      </c>
      <c r="X138">
        <v>0.1021</v>
      </c>
      <c r="Y138">
        <v>1.1186</v>
      </c>
      <c r="Z138" s="2">
        <v>89.2</v>
      </c>
      <c r="AA138">
        <v>0</v>
      </c>
      <c r="AB138" s="2">
        <v>81.599999999999994</v>
      </c>
      <c r="AC138">
        <v>0</v>
      </c>
    </row>
    <row r="139" spans="1:29" x14ac:dyDescent="0.3">
      <c r="A139" s="1">
        <f t="shared" si="2"/>
        <v>138</v>
      </c>
      <c r="B139">
        <v>2</v>
      </c>
      <c r="C139">
        <v>753.7</v>
      </c>
      <c r="D139">
        <v>170.6</v>
      </c>
      <c r="E139">
        <v>103.8</v>
      </c>
      <c r="F139">
        <v>110</v>
      </c>
      <c r="G139">
        <v>31</v>
      </c>
      <c r="H139">
        <v>52</v>
      </c>
      <c r="I139">
        <v>712</v>
      </c>
      <c r="J139">
        <v>39.630000000000003</v>
      </c>
      <c r="K139">
        <v>29.19</v>
      </c>
      <c r="L139">
        <v>0.14630000000000001</v>
      </c>
      <c r="M139">
        <v>5.9999999999999995E-4</v>
      </c>
      <c r="N139">
        <v>0.3417</v>
      </c>
      <c r="O139">
        <v>0.77490000000000003</v>
      </c>
      <c r="P139">
        <v>355.39</v>
      </c>
      <c r="Q139">
        <v>6588.86</v>
      </c>
      <c r="R139">
        <v>3.9</v>
      </c>
      <c r="S139">
        <v>13.72</v>
      </c>
      <c r="T139">
        <v>0.40350000000000003</v>
      </c>
      <c r="U139">
        <v>0.88300000000000001</v>
      </c>
      <c r="V139">
        <v>4.1818999999999997</v>
      </c>
      <c r="W139">
        <v>0.58209999999999995</v>
      </c>
      <c r="X139">
        <v>6.3100000000000003E-2</v>
      </c>
      <c r="Y139">
        <v>1.0209999999999999</v>
      </c>
      <c r="Z139" s="2">
        <v>96.2</v>
      </c>
      <c r="AA139">
        <v>1</v>
      </c>
      <c r="AB139" s="2">
        <v>87.3</v>
      </c>
      <c r="AC139">
        <v>0</v>
      </c>
    </row>
    <row r="140" spans="1:29" x14ac:dyDescent="0.3">
      <c r="A140" s="1">
        <f t="shared" si="2"/>
        <v>139</v>
      </c>
      <c r="B140">
        <v>3</v>
      </c>
      <c r="C140">
        <v>601.20000000000005</v>
      </c>
      <c r="D140">
        <v>160.69999999999999</v>
      </c>
      <c r="E140">
        <v>194.3</v>
      </c>
      <c r="F140">
        <v>185</v>
      </c>
      <c r="G140">
        <v>12</v>
      </c>
      <c r="H140">
        <v>30</v>
      </c>
      <c r="I140">
        <v>716</v>
      </c>
      <c r="J140">
        <v>42.12</v>
      </c>
      <c r="K140">
        <v>24.01</v>
      </c>
      <c r="L140">
        <v>0.21479999999999999</v>
      </c>
      <c r="M140">
        <v>0</v>
      </c>
      <c r="N140">
        <v>0.76690000000000003</v>
      </c>
      <c r="O140">
        <v>0.67249999999999999</v>
      </c>
      <c r="P140">
        <v>297.08999999999997</v>
      </c>
      <c r="Q140">
        <v>8425.1</v>
      </c>
      <c r="R140">
        <v>4.3600000000000003</v>
      </c>
      <c r="S140">
        <v>11.02</v>
      </c>
      <c r="T140">
        <v>0.26939999999999997</v>
      </c>
      <c r="U140">
        <v>1.4238999999999999</v>
      </c>
      <c r="V140">
        <v>5.6242000000000001</v>
      </c>
      <c r="W140">
        <v>0.76</v>
      </c>
      <c r="X140">
        <v>0.05</v>
      </c>
      <c r="Y140">
        <v>1.8365</v>
      </c>
      <c r="Z140" s="2">
        <v>97.1</v>
      </c>
      <c r="AA140">
        <v>1</v>
      </c>
      <c r="AB140" s="2">
        <v>95.5</v>
      </c>
      <c r="AC140">
        <v>1</v>
      </c>
    </row>
    <row r="141" spans="1:29" x14ac:dyDescent="0.3">
      <c r="A141" s="1">
        <f t="shared" si="2"/>
        <v>140</v>
      </c>
      <c r="B141">
        <v>3</v>
      </c>
      <c r="C141">
        <v>1297.4000000000001</v>
      </c>
      <c r="D141">
        <v>205.2</v>
      </c>
      <c r="E141">
        <v>180.4</v>
      </c>
      <c r="F141">
        <v>200</v>
      </c>
      <c r="G141">
        <v>13</v>
      </c>
      <c r="H141">
        <v>32</v>
      </c>
      <c r="I141">
        <v>712</v>
      </c>
      <c r="J141">
        <v>48.43</v>
      </c>
      <c r="K141">
        <v>24.28</v>
      </c>
      <c r="L141">
        <v>0.22140000000000001</v>
      </c>
      <c r="M141">
        <v>0</v>
      </c>
      <c r="N141">
        <v>0.52559999999999996</v>
      </c>
      <c r="O141">
        <v>0.66100000000000003</v>
      </c>
      <c r="P141">
        <v>420.74</v>
      </c>
      <c r="Q141">
        <v>8077.3</v>
      </c>
      <c r="R141">
        <v>3.24</v>
      </c>
      <c r="S141">
        <v>50.48</v>
      </c>
      <c r="T141">
        <v>0.26669999999999999</v>
      </c>
      <c r="U141">
        <v>1.4263999999999999</v>
      </c>
      <c r="V141">
        <v>5.1769999999999996</v>
      </c>
      <c r="W141">
        <v>0.70920000000000005</v>
      </c>
      <c r="X141">
        <v>4.6800000000000001E-2</v>
      </c>
      <c r="Y141">
        <v>1.6774</v>
      </c>
      <c r="Z141" s="2">
        <v>95</v>
      </c>
      <c r="AA141">
        <v>1</v>
      </c>
      <c r="AB141" s="2">
        <v>95.7</v>
      </c>
      <c r="AC141">
        <v>1</v>
      </c>
    </row>
    <row r="142" spans="1:29" x14ac:dyDescent="0.3">
      <c r="A142" s="1">
        <f t="shared" si="2"/>
        <v>141</v>
      </c>
      <c r="B142">
        <v>2</v>
      </c>
      <c r="C142">
        <v>825.2</v>
      </c>
      <c r="D142">
        <v>182.7</v>
      </c>
      <c r="E142">
        <v>87.6</v>
      </c>
      <c r="F142">
        <v>85</v>
      </c>
      <c r="G142">
        <v>32</v>
      </c>
      <c r="H142">
        <v>48</v>
      </c>
      <c r="I142">
        <v>712</v>
      </c>
      <c r="J142">
        <v>34.83</v>
      </c>
      <c r="K142">
        <v>23.71</v>
      </c>
      <c r="L142">
        <v>0.15190000000000001</v>
      </c>
      <c r="M142">
        <v>4.0000000000000002E-4</v>
      </c>
      <c r="N142">
        <v>0.5575</v>
      </c>
      <c r="O142">
        <v>1.0737000000000001</v>
      </c>
      <c r="P142">
        <v>377.01</v>
      </c>
      <c r="Q142">
        <v>8825.1200000000008</v>
      </c>
      <c r="R142">
        <v>3.71</v>
      </c>
      <c r="S142">
        <v>42.45</v>
      </c>
      <c r="T142">
        <v>0.30249999999999999</v>
      </c>
      <c r="U142">
        <v>0.9778</v>
      </c>
      <c r="V142">
        <v>2.7713999999999999</v>
      </c>
      <c r="W142">
        <v>0.68359999999999999</v>
      </c>
      <c r="X142">
        <v>7.6999999999999999E-2</v>
      </c>
      <c r="Y142">
        <v>1.5208999999999999</v>
      </c>
      <c r="Z142" s="2">
        <v>87.5</v>
      </c>
      <c r="AA142">
        <v>0</v>
      </c>
      <c r="AB142" s="2">
        <v>83.1</v>
      </c>
      <c r="AC142">
        <v>0</v>
      </c>
    </row>
    <row r="143" spans="1:29" x14ac:dyDescent="0.3">
      <c r="A143" s="1">
        <f t="shared" si="2"/>
        <v>142</v>
      </c>
      <c r="B143">
        <v>2</v>
      </c>
      <c r="C143">
        <v>765</v>
      </c>
      <c r="D143">
        <v>180.6</v>
      </c>
      <c r="E143">
        <v>218.3</v>
      </c>
      <c r="F143">
        <v>240</v>
      </c>
      <c r="G143">
        <v>29</v>
      </c>
      <c r="H143">
        <v>76</v>
      </c>
      <c r="I143">
        <v>712</v>
      </c>
      <c r="J143">
        <v>28.89</v>
      </c>
      <c r="K143">
        <v>11.77</v>
      </c>
      <c r="L143">
        <v>0.27089999999999997</v>
      </c>
      <c r="M143">
        <v>2.8999999999999998E-3</v>
      </c>
      <c r="N143">
        <v>1.0142</v>
      </c>
      <c r="O143">
        <v>0.94610000000000005</v>
      </c>
      <c r="P143">
        <v>332.27</v>
      </c>
      <c r="Q143">
        <v>10453.450000000001</v>
      </c>
      <c r="R143">
        <v>3.84</v>
      </c>
      <c r="S143">
        <v>16.52</v>
      </c>
      <c r="T143">
        <v>0.1802</v>
      </c>
      <c r="U143">
        <v>1.2433000000000001</v>
      </c>
      <c r="V143">
        <v>13.817299999999999</v>
      </c>
      <c r="W143">
        <v>0.87180000000000002</v>
      </c>
      <c r="X143">
        <v>0.1003</v>
      </c>
      <c r="Y143">
        <v>2.7235999999999998</v>
      </c>
      <c r="Z143" s="2">
        <v>90.2</v>
      </c>
      <c r="AA143">
        <v>1</v>
      </c>
      <c r="AB143" s="2">
        <v>94.5</v>
      </c>
      <c r="AC143">
        <v>1</v>
      </c>
    </row>
    <row r="144" spans="1:29" x14ac:dyDescent="0.3">
      <c r="A144" s="1">
        <f t="shared" si="2"/>
        <v>143</v>
      </c>
      <c r="B144">
        <v>3</v>
      </c>
      <c r="C144">
        <v>752.6</v>
      </c>
      <c r="D144">
        <v>169.1</v>
      </c>
      <c r="E144">
        <v>191.3</v>
      </c>
      <c r="F144">
        <v>260</v>
      </c>
      <c r="G144">
        <v>10</v>
      </c>
      <c r="H144">
        <v>36</v>
      </c>
      <c r="I144">
        <v>712</v>
      </c>
      <c r="J144">
        <v>32.19</v>
      </c>
      <c r="K144">
        <v>17.47</v>
      </c>
      <c r="L144">
        <v>0.20930000000000001</v>
      </c>
      <c r="M144">
        <v>0</v>
      </c>
      <c r="N144">
        <v>0.65</v>
      </c>
      <c r="O144">
        <v>0.72689999999999999</v>
      </c>
      <c r="P144">
        <v>343.93</v>
      </c>
      <c r="Q144">
        <v>10700.51</v>
      </c>
      <c r="R144">
        <v>3.97</v>
      </c>
      <c r="S144">
        <v>25.26</v>
      </c>
      <c r="T144">
        <v>0.23960000000000001</v>
      </c>
      <c r="U144">
        <v>1.4574</v>
      </c>
      <c r="V144">
        <v>8.4534000000000002</v>
      </c>
      <c r="W144">
        <v>0.79220000000000002</v>
      </c>
      <c r="X144">
        <v>4.9700000000000001E-2</v>
      </c>
      <c r="Y144">
        <v>1.7050000000000001</v>
      </c>
      <c r="Z144" s="2">
        <v>96.5</v>
      </c>
      <c r="AA144">
        <v>1</v>
      </c>
      <c r="AB144" s="2">
        <v>98.2</v>
      </c>
      <c r="AC144">
        <v>1</v>
      </c>
    </row>
    <row r="145" spans="1:29" x14ac:dyDescent="0.3">
      <c r="A145" s="1">
        <f t="shared" si="2"/>
        <v>144</v>
      </c>
      <c r="B145">
        <v>2</v>
      </c>
      <c r="C145">
        <v>761</v>
      </c>
      <c r="D145">
        <v>172.3</v>
      </c>
      <c r="E145">
        <v>244.7</v>
      </c>
      <c r="F145">
        <v>300</v>
      </c>
      <c r="G145">
        <v>11</v>
      </c>
      <c r="H145">
        <v>70</v>
      </c>
      <c r="I145">
        <v>712</v>
      </c>
      <c r="J145">
        <v>28.79</v>
      </c>
      <c r="K145">
        <v>12.41</v>
      </c>
      <c r="L145">
        <v>0.28249999999999997</v>
      </c>
      <c r="M145">
        <v>4.4999999999999997E-3</v>
      </c>
      <c r="N145">
        <v>0.67079999999999995</v>
      </c>
      <c r="O145">
        <v>0.77569999999999995</v>
      </c>
      <c r="P145">
        <v>356.33</v>
      </c>
      <c r="Q145">
        <v>9895.9599999999991</v>
      </c>
      <c r="R145">
        <v>4.0199999999999996</v>
      </c>
      <c r="S145">
        <v>37.61</v>
      </c>
      <c r="T145">
        <v>0.14019999999999999</v>
      </c>
      <c r="U145">
        <v>1.4818</v>
      </c>
      <c r="V145">
        <v>19.4421</v>
      </c>
      <c r="W145">
        <v>0.85450000000000004</v>
      </c>
      <c r="X145">
        <v>0.1027</v>
      </c>
      <c r="Y145">
        <v>1.7264999999999999</v>
      </c>
      <c r="Z145" s="2">
        <v>90.4</v>
      </c>
      <c r="AA145">
        <v>1</v>
      </c>
      <c r="AB145" s="2">
        <v>92</v>
      </c>
      <c r="AC145">
        <v>1</v>
      </c>
    </row>
    <row r="146" spans="1:29" x14ac:dyDescent="0.3">
      <c r="A146" s="1">
        <f t="shared" si="2"/>
        <v>145</v>
      </c>
      <c r="B146">
        <v>2</v>
      </c>
      <c r="C146">
        <v>407.3</v>
      </c>
      <c r="D146">
        <v>105.8</v>
      </c>
      <c r="E146">
        <v>168.7</v>
      </c>
      <c r="F146">
        <v>145</v>
      </c>
      <c r="G146">
        <v>27</v>
      </c>
      <c r="H146">
        <v>55</v>
      </c>
      <c r="I146">
        <v>450</v>
      </c>
      <c r="J146">
        <v>27.02</v>
      </c>
      <c r="K146">
        <v>15</v>
      </c>
      <c r="L146">
        <v>0.22270000000000001</v>
      </c>
      <c r="M146">
        <v>2.9999999999999997E-4</v>
      </c>
      <c r="N146">
        <v>0.5696</v>
      </c>
      <c r="O146">
        <v>1.0774999999999999</v>
      </c>
      <c r="P146">
        <v>319.01</v>
      </c>
      <c r="Q146">
        <v>8688.98</v>
      </c>
      <c r="R146">
        <v>4.2</v>
      </c>
      <c r="S146">
        <v>30.47</v>
      </c>
      <c r="T146">
        <v>0.21959999999999999</v>
      </c>
      <c r="U146">
        <v>1.1725000000000001</v>
      </c>
      <c r="V146">
        <v>5.3818999999999999</v>
      </c>
      <c r="W146">
        <v>0.89259999999999995</v>
      </c>
      <c r="X146">
        <v>9.3100000000000002E-2</v>
      </c>
      <c r="Y146">
        <v>1.4283999999999999</v>
      </c>
      <c r="Z146" s="2">
        <v>100</v>
      </c>
      <c r="AA146">
        <v>1</v>
      </c>
      <c r="AB146" s="2">
        <v>97.6</v>
      </c>
      <c r="AC146">
        <v>1</v>
      </c>
    </row>
    <row r="147" spans="1:29" x14ac:dyDescent="0.3">
      <c r="A147" s="1">
        <f t="shared" si="2"/>
        <v>146</v>
      </c>
      <c r="B147">
        <v>2</v>
      </c>
      <c r="C147">
        <v>694.1</v>
      </c>
      <c r="D147">
        <v>225</v>
      </c>
      <c r="E147">
        <v>191</v>
      </c>
      <c r="F147">
        <v>200</v>
      </c>
      <c r="G147">
        <v>27</v>
      </c>
      <c r="H147">
        <v>68</v>
      </c>
      <c r="I147">
        <v>482</v>
      </c>
      <c r="J147">
        <v>40.82</v>
      </c>
      <c r="K147">
        <v>15.96</v>
      </c>
      <c r="L147">
        <v>0.2359</v>
      </c>
      <c r="M147">
        <v>5.7999999999999996E-3</v>
      </c>
      <c r="N147">
        <v>0.76570000000000005</v>
      </c>
      <c r="O147">
        <v>0.57550000000000001</v>
      </c>
      <c r="P147">
        <v>278.48</v>
      </c>
      <c r="Q147">
        <v>10439.629999999999</v>
      </c>
      <c r="R147">
        <v>2.15</v>
      </c>
      <c r="S147">
        <v>71.66</v>
      </c>
      <c r="T147">
        <v>0.22470000000000001</v>
      </c>
      <c r="U147">
        <v>1.2121</v>
      </c>
      <c r="V147">
        <v>10.213100000000001</v>
      </c>
      <c r="W147">
        <v>0.77580000000000005</v>
      </c>
      <c r="X147">
        <v>8.3400000000000002E-2</v>
      </c>
      <c r="Y147">
        <v>3.8498000000000001</v>
      </c>
      <c r="Z147" s="2">
        <v>88.1</v>
      </c>
      <c r="AA147">
        <v>0</v>
      </c>
      <c r="AB147" s="2">
        <v>87.2</v>
      </c>
      <c r="AC147">
        <v>0</v>
      </c>
    </row>
    <row r="148" spans="1:29" x14ac:dyDescent="0.3">
      <c r="A148" s="1">
        <f t="shared" si="2"/>
        <v>147</v>
      </c>
      <c r="B148">
        <v>2</v>
      </c>
      <c r="C148">
        <v>798.3</v>
      </c>
      <c r="D148">
        <v>173.8</v>
      </c>
      <c r="E148">
        <v>75.599999999999994</v>
      </c>
      <c r="F148">
        <v>75</v>
      </c>
      <c r="G148">
        <v>33</v>
      </c>
      <c r="H148">
        <v>47</v>
      </c>
      <c r="I148">
        <v>712</v>
      </c>
      <c r="J148">
        <v>25.88</v>
      </c>
      <c r="K148">
        <v>17.18</v>
      </c>
      <c r="L148">
        <v>0.18529999999999999</v>
      </c>
      <c r="M148">
        <v>8.0000000000000004E-4</v>
      </c>
      <c r="N148">
        <v>0.31409999999999999</v>
      </c>
      <c r="O148">
        <v>0.94410000000000005</v>
      </c>
      <c r="P148">
        <v>379.54</v>
      </c>
      <c r="Q148">
        <v>7146.57</v>
      </c>
      <c r="R148">
        <v>3.8</v>
      </c>
      <c r="S148">
        <v>19.28</v>
      </c>
      <c r="T148">
        <v>0.3382</v>
      </c>
      <c r="U148">
        <v>0.87339999999999995</v>
      </c>
      <c r="V148">
        <v>4.0503999999999998</v>
      </c>
      <c r="W148">
        <v>0.628</v>
      </c>
      <c r="X148">
        <v>8.9300000000000004E-2</v>
      </c>
      <c r="Y148">
        <v>0.90820000000000001</v>
      </c>
      <c r="Z148" s="2">
        <v>94.7</v>
      </c>
      <c r="AA148">
        <v>1</v>
      </c>
      <c r="AB148" s="2">
        <v>72.900000000000006</v>
      </c>
      <c r="AC148">
        <v>0</v>
      </c>
    </row>
    <row r="149" spans="1:29" x14ac:dyDescent="0.3">
      <c r="A149" s="1">
        <f t="shared" si="2"/>
        <v>148</v>
      </c>
      <c r="B149">
        <v>1</v>
      </c>
      <c r="C149">
        <v>942.7</v>
      </c>
      <c r="D149">
        <v>216.1</v>
      </c>
      <c r="E149">
        <v>111.9</v>
      </c>
      <c r="F149">
        <v>90</v>
      </c>
      <c r="G149">
        <v>30</v>
      </c>
      <c r="H149">
        <v>47</v>
      </c>
      <c r="I149">
        <v>712</v>
      </c>
      <c r="J149">
        <v>27.91</v>
      </c>
      <c r="K149">
        <v>17.149999999999999</v>
      </c>
      <c r="L149">
        <v>0.24540000000000001</v>
      </c>
      <c r="M149">
        <v>2.3E-3</v>
      </c>
      <c r="N149">
        <v>0.56969999999999998</v>
      </c>
      <c r="O149">
        <v>1.0502</v>
      </c>
      <c r="P149">
        <v>352.07</v>
      </c>
      <c r="Q149">
        <v>11654.88</v>
      </c>
      <c r="R149">
        <v>3.17</v>
      </c>
      <c r="S149">
        <v>79.099999999999994</v>
      </c>
      <c r="T149">
        <v>0.21410000000000001</v>
      </c>
      <c r="U149">
        <v>1.0907</v>
      </c>
      <c r="V149">
        <v>3.7509999999999999</v>
      </c>
      <c r="W149">
        <v>0.8468</v>
      </c>
      <c r="X149">
        <v>0.1046</v>
      </c>
      <c r="Y149">
        <v>2.1238999999999999</v>
      </c>
      <c r="Z149" s="2">
        <v>97.2</v>
      </c>
      <c r="AA149">
        <v>1</v>
      </c>
      <c r="AB149" s="2">
        <v>97</v>
      </c>
      <c r="AC149">
        <v>1</v>
      </c>
    </row>
    <row r="150" spans="1:29" x14ac:dyDescent="0.3">
      <c r="A150" s="1">
        <f t="shared" si="2"/>
        <v>149</v>
      </c>
      <c r="B150">
        <v>1</v>
      </c>
      <c r="C150">
        <v>531.4</v>
      </c>
      <c r="D150">
        <v>161.19999999999999</v>
      </c>
      <c r="E150">
        <v>104.1</v>
      </c>
      <c r="F150">
        <v>70</v>
      </c>
      <c r="G150">
        <v>32</v>
      </c>
      <c r="H150">
        <v>45</v>
      </c>
      <c r="I150">
        <v>712</v>
      </c>
      <c r="J150">
        <v>23.4</v>
      </c>
      <c r="K150">
        <v>14.3</v>
      </c>
      <c r="L150">
        <v>0.2218</v>
      </c>
      <c r="M150">
        <v>2.9999999999999997E-4</v>
      </c>
      <c r="N150">
        <v>0.3468</v>
      </c>
      <c r="O150">
        <v>0.97919999999999996</v>
      </c>
      <c r="P150">
        <v>294.94</v>
      </c>
      <c r="Q150">
        <v>4831.66</v>
      </c>
      <c r="R150">
        <v>4.2699999999999996</v>
      </c>
      <c r="S150">
        <v>7.88</v>
      </c>
      <c r="T150">
        <v>0.29270000000000002</v>
      </c>
      <c r="U150">
        <v>0.72540000000000004</v>
      </c>
      <c r="V150">
        <v>4.4116999999999997</v>
      </c>
      <c r="W150">
        <v>0.70189999999999997</v>
      </c>
      <c r="X150">
        <v>0.1042</v>
      </c>
      <c r="Y150">
        <v>0.79420000000000002</v>
      </c>
      <c r="Z150" s="2">
        <v>95.7</v>
      </c>
      <c r="AA150">
        <v>1</v>
      </c>
      <c r="AB150" s="2">
        <v>95.7</v>
      </c>
      <c r="AC150">
        <v>1</v>
      </c>
    </row>
    <row r="151" spans="1:29" x14ac:dyDescent="0.3">
      <c r="A151" s="1">
        <f t="shared" si="2"/>
        <v>150</v>
      </c>
      <c r="B151">
        <v>1</v>
      </c>
      <c r="C151">
        <v>654.29999999999995</v>
      </c>
      <c r="D151">
        <v>162.4</v>
      </c>
      <c r="E151">
        <v>88.3</v>
      </c>
      <c r="F151">
        <v>95</v>
      </c>
      <c r="G151">
        <v>32</v>
      </c>
      <c r="H151">
        <v>50</v>
      </c>
      <c r="I151">
        <v>712</v>
      </c>
      <c r="J151">
        <v>21.96</v>
      </c>
      <c r="K151">
        <v>12.35</v>
      </c>
      <c r="L151">
        <v>0.2029</v>
      </c>
      <c r="M151">
        <v>1.8E-3</v>
      </c>
      <c r="N151">
        <v>0.38340000000000002</v>
      </c>
      <c r="O151">
        <v>0.96030000000000004</v>
      </c>
      <c r="P151">
        <v>329.02</v>
      </c>
      <c r="Q151">
        <v>5182.37</v>
      </c>
      <c r="R151">
        <v>4.2300000000000004</v>
      </c>
      <c r="S151">
        <v>8.32</v>
      </c>
      <c r="T151">
        <v>0.28749999999999998</v>
      </c>
      <c r="U151">
        <v>0.81950000000000001</v>
      </c>
      <c r="V151">
        <v>5.3022999999999998</v>
      </c>
      <c r="W151">
        <v>0.73260000000000003</v>
      </c>
      <c r="X151">
        <v>9.2799999999999994E-2</v>
      </c>
      <c r="Y151">
        <v>1.0604</v>
      </c>
      <c r="Z151" s="2">
        <v>93.8</v>
      </c>
      <c r="AA151">
        <v>1</v>
      </c>
      <c r="AB151" s="2">
        <v>92.3</v>
      </c>
      <c r="AC15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DeFillippo, Greg</dc:creator>
  <cp:lastModifiedBy>Troy</cp:lastModifiedBy>
  <dcterms:created xsi:type="dcterms:W3CDTF">2023-04-07T23:16:09Z</dcterms:created>
  <dcterms:modified xsi:type="dcterms:W3CDTF">2025-11-08T22:14:39Z</dcterms:modified>
</cp:coreProperties>
</file>